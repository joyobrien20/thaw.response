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yobrien/Desktop/"/>
    </mc:Choice>
  </mc:AlternateContent>
  <xr:revisionPtr revIDLastSave="0" documentId="8_{F4FA888D-BA8A-7F48-AD5A-9357D41AD1BD}" xr6:coauthVersionLast="47" xr6:coauthVersionMax="47" xr10:uidLastSave="{00000000-0000-0000-0000-000000000000}"/>
  <bookViews>
    <workbookView xWindow="31860" yWindow="500" windowWidth="30760" windowHeight="20540" xr2:uid="{6484C74D-E9F1-164F-9D0C-989A6DB42B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47" i="1" l="1"/>
  <c r="P48" i="1"/>
  <c r="P49" i="1"/>
  <c r="P50" i="1"/>
  <c r="P51" i="1"/>
  <c r="P52" i="1"/>
  <c r="P53" i="1"/>
  <c r="P54" i="1"/>
  <c r="P55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" i="1"/>
  <c r="N5" i="1"/>
  <c r="E49" i="1"/>
  <c r="E50" i="1"/>
  <c r="E51" i="1"/>
  <c r="E52" i="1"/>
  <c r="E53" i="1"/>
  <c r="E54" i="1"/>
  <c r="E55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6" i="1"/>
  <c r="D44" i="1"/>
  <c r="D45" i="1"/>
  <c r="D46" i="1"/>
  <c r="D47" i="1"/>
  <c r="D48" i="1"/>
  <c r="D49" i="1"/>
  <c r="D50" i="1"/>
  <c r="D51" i="1"/>
  <c r="D52" i="1"/>
  <c r="D53" i="1"/>
  <c r="D54" i="1"/>
  <c r="D55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7" i="1"/>
  <c r="D8" i="1"/>
  <c r="D6" i="1"/>
</calcChain>
</file>

<file path=xl/sharedStrings.xml><?xml version="1.0" encoding="utf-8"?>
<sst xmlns="http://schemas.openxmlformats.org/spreadsheetml/2006/main" count="96" uniqueCount="92">
  <si>
    <t>Sample ID</t>
  </si>
  <si>
    <t>Sample #</t>
  </si>
  <si>
    <t>STD 1</t>
  </si>
  <si>
    <t xml:space="preserve">STD 2 </t>
  </si>
  <si>
    <t>Concentration (ng/ul)</t>
  </si>
  <si>
    <t>1P</t>
  </si>
  <si>
    <t>2P</t>
  </si>
  <si>
    <t>3P</t>
  </si>
  <si>
    <t>4P</t>
  </si>
  <si>
    <t>5P</t>
  </si>
  <si>
    <t>6P</t>
  </si>
  <si>
    <t>7P</t>
  </si>
  <si>
    <t>8P</t>
  </si>
  <si>
    <t>9P</t>
  </si>
  <si>
    <t>10P</t>
  </si>
  <si>
    <t>11P</t>
  </si>
  <si>
    <t>12P</t>
  </si>
  <si>
    <t>13P</t>
  </si>
  <si>
    <t>14P</t>
  </si>
  <si>
    <t>15P</t>
  </si>
  <si>
    <t>16P</t>
  </si>
  <si>
    <t>17P</t>
  </si>
  <si>
    <t>18P</t>
  </si>
  <si>
    <t>19P</t>
  </si>
  <si>
    <t>20P</t>
  </si>
  <si>
    <t>21P</t>
  </si>
  <si>
    <t>22P</t>
  </si>
  <si>
    <t>23P</t>
  </si>
  <si>
    <t>24P</t>
  </si>
  <si>
    <t>25P</t>
  </si>
  <si>
    <t>26P</t>
  </si>
  <si>
    <t>NA</t>
  </si>
  <si>
    <t xml:space="preserve">too low </t>
  </si>
  <si>
    <t>AT3_R5_PRE_SOIL</t>
  </si>
  <si>
    <t>AT3_R6_PRE_SOIL</t>
  </si>
  <si>
    <t>AT3_R7_PRE_SOIL</t>
  </si>
  <si>
    <t>AT3_R8_PRE_SOIL</t>
  </si>
  <si>
    <t>AT4_R5_PRE_SOIL</t>
  </si>
  <si>
    <t>AT4_R6_PRE_SOIL</t>
  </si>
  <si>
    <t>AT4_R7_PRE_SOIL</t>
  </si>
  <si>
    <t>AT4_R8_PRE_SOIL</t>
  </si>
  <si>
    <t>FL1C4_R5_PRE_SOIL</t>
  </si>
  <si>
    <t>FL1C4_R6_PRE_SOIL</t>
  </si>
  <si>
    <t>FL1C4_R7_PRE_SOIL</t>
  </si>
  <si>
    <t>FL1C4_R8_PRE_SOIL</t>
  </si>
  <si>
    <t>FL2C3_R5_PRE_SOIL</t>
  </si>
  <si>
    <t>FL2C3_R6_PRE_SOIL</t>
  </si>
  <si>
    <t>FL2C3_R7_PRE_SOIL</t>
  </si>
  <si>
    <t>FL2C3_R8_PRE_SOIL</t>
  </si>
  <si>
    <t>BEO1_R5_PRE_SOIL</t>
  </si>
  <si>
    <t>BEO1_R6_PRE_SOIL</t>
  </si>
  <si>
    <t>BEO1_R7_PRE_SOIL</t>
  </si>
  <si>
    <t>BEO1_R8_PRE_SOIL</t>
  </si>
  <si>
    <t>BEO2B_R5_PRE_SOIL</t>
  </si>
  <si>
    <t>BEO2B_R6_PRE_SOIL</t>
  </si>
  <si>
    <t>BEO2B_R7_PRE_SOIL</t>
  </si>
  <si>
    <t>BEO2B_R8_PRE_SOIL</t>
  </si>
  <si>
    <t>DNA_BLANK_1_PRE_THAW_SOIL</t>
  </si>
  <si>
    <t>DNA_BLANK_2_PRE_THAW_SOIL</t>
  </si>
  <si>
    <t>AT3_R5_POST_SOIL</t>
  </si>
  <si>
    <t>AT3_R6_POST_SOIL</t>
  </si>
  <si>
    <t>AT3_R7_POST_SOIL</t>
  </si>
  <si>
    <t>AT3_R8_POST_SOIL</t>
  </si>
  <si>
    <t>AT4_R5_POST_SOIL</t>
  </si>
  <si>
    <t>AT4_R6_POST_SOIL</t>
  </si>
  <si>
    <t>AT4_R7_POST_SOIL</t>
  </si>
  <si>
    <t>AT4_R8_POST_SOIL</t>
  </si>
  <si>
    <t>FL1C4_R5_POST_SOIL</t>
  </si>
  <si>
    <t>FL1C4_R6_POST_SOIL</t>
  </si>
  <si>
    <t>FL1C4_R7_POST_SOIL</t>
  </si>
  <si>
    <t>FL1C4_R8_POST_SOIL</t>
  </si>
  <si>
    <t>FL2C3_R5_POST_SOIL</t>
  </si>
  <si>
    <t>FL2C3_R6_POST_SOIL</t>
  </si>
  <si>
    <t>FL2C3_R7_POST_SOIL</t>
  </si>
  <si>
    <t>FL2C3_R8_POST_SOIL</t>
  </si>
  <si>
    <t>BEO1_R5_POST_SOIL</t>
  </si>
  <si>
    <t>BEO1_R6_POST_SOIL</t>
  </si>
  <si>
    <t>BEO1_R7_POST_SOIL</t>
  </si>
  <si>
    <t>BEO1_R8_POST_SOIL</t>
  </si>
  <si>
    <t>BEO2B_R5_POST_SOIL</t>
  </si>
  <si>
    <t>BEO2B_R6_POST_SOIL</t>
  </si>
  <si>
    <t>BEO2B_R7_POST_SOIL</t>
  </si>
  <si>
    <t>BEO2B_R8_POST_SOIL</t>
  </si>
  <si>
    <t>DNA_BLANK_1_POST_THAW_SOIL</t>
  </si>
  <si>
    <t>DNA_BLANK_2_POST_THAW_SOIL</t>
  </si>
  <si>
    <t>QubiT concentrations for pre and post thaw soil samples (high sensitivity)</t>
  </si>
  <si>
    <t xml:space="preserve">Note: for the samples that came in as too low, I will be running them on the broad range kit </t>
  </si>
  <si>
    <t>Broad range standards: std 1 83.84</t>
  </si>
  <si>
    <t>std 2 6026.38</t>
  </si>
  <si>
    <t>10ng/46 ul</t>
  </si>
  <si>
    <t>diH2O needed</t>
  </si>
  <si>
    <t>1.6 ng/20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</si>
</sst>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2D15D-BF5F-3E47-B587-005900BB2F5C}">
  <dimension ref="A1:Q57"/>
  <sheetViews>
    <sheetView tabSelected="1" workbookViewId="0">
      <selection activeCell="P4" sqref="P4"/>
    </sheetView>
  </sheetViews>
  <sheetFormatPr baseColWidth="10" defaultRowHeight="16" x14ac:dyDescent="0.2"/>
  <cols>
    <col min="2" max="2" width="25.6640625" customWidth="1"/>
    <col min="3" max="3" width="20.1640625" customWidth="1"/>
  </cols>
  <sheetData>
    <row r="1" spans="1:17" x14ac:dyDescent="0.2">
      <c r="A1" t="s">
        <v>85</v>
      </c>
    </row>
    <row r="3" spans="1:17" x14ac:dyDescent="0.2">
      <c r="A3" t="s">
        <v>1</v>
      </c>
      <c r="B3" t="s">
        <v>0</v>
      </c>
      <c r="C3" t="s">
        <v>4</v>
      </c>
      <c r="D3" t="s">
        <v>89</v>
      </c>
      <c r="E3" t="s">
        <v>90</v>
      </c>
      <c r="P3" t="s">
        <v>91</v>
      </c>
      <c r="Q3" t="s">
        <v>90</v>
      </c>
    </row>
    <row r="4" spans="1:17" x14ac:dyDescent="0.2">
      <c r="A4" t="s">
        <v>2</v>
      </c>
      <c r="B4" t="s">
        <v>31</v>
      </c>
      <c r="C4">
        <v>49.81</v>
      </c>
      <c r="F4" t="s">
        <v>86</v>
      </c>
      <c r="P4">
        <f>1.6/C6</f>
        <v>0.24242424242424246</v>
      </c>
    </row>
    <row r="5" spans="1:17" x14ac:dyDescent="0.2">
      <c r="A5" t="s">
        <v>3</v>
      </c>
      <c r="B5" t="s">
        <v>31</v>
      </c>
      <c r="C5">
        <v>21736.67</v>
      </c>
      <c r="N5">
        <f>1.6/20</f>
        <v>0.08</v>
      </c>
      <c r="P5">
        <f t="shared" ref="P5:P55" si="0">1.6/C7</f>
        <v>0.18518518518518517</v>
      </c>
    </row>
    <row r="6" spans="1:17" x14ac:dyDescent="0.2">
      <c r="A6" t="s">
        <v>5</v>
      </c>
      <c r="B6" t="s">
        <v>33</v>
      </c>
      <c r="C6">
        <v>6.6</v>
      </c>
      <c r="D6">
        <f>10/C6</f>
        <v>1.5151515151515151</v>
      </c>
      <c r="E6">
        <f>46-D6</f>
        <v>44.484848484848484</v>
      </c>
      <c r="P6">
        <f t="shared" si="0"/>
        <v>18.823529411764707</v>
      </c>
    </row>
    <row r="7" spans="1:17" x14ac:dyDescent="0.2">
      <c r="A7" t="s">
        <v>6</v>
      </c>
      <c r="B7" t="s">
        <v>34</v>
      </c>
      <c r="C7">
        <v>8.64</v>
      </c>
      <c r="D7">
        <f>10/C7</f>
        <v>1.1574074074074074</v>
      </c>
      <c r="E7">
        <f t="shared" ref="E7:E55" si="1">46-D7</f>
        <v>44.842592592592595</v>
      </c>
      <c r="F7" t="s">
        <v>87</v>
      </c>
      <c r="P7">
        <f t="shared" si="0"/>
        <v>9.696969696969697E-2</v>
      </c>
    </row>
    <row r="8" spans="1:17" x14ac:dyDescent="0.2">
      <c r="A8" t="s">
        <v>7</v>
      </c>
      <c r="B8" t="s">
        <v>35</v>
      </c>
      <c r="C8">
        <v>8.5000000000000006E-2</v>
      </c>
      <c r="D8">
        <f>10/C8</f>
        <v>117.64705882352941</v>
      </c>
      <c r="E8">
        <f t="shared" si="1"/>
        <v>-71.647058823529406</v>
      </c>
      <c r="G8" t="s">
        <v>88</v>
      </c>
      <c r="P8">
        <f t="shared" si="0"/>
        <v>0.81632653061224492</v>
      </c>
    </row>
    <row r="9" spans="1:17" x14ac:dyDescent="0.2">
      <c r="A9" t="s">
        <v>8</v>
      </c>
      <c r="B9" t="s">
        <v>36</v>
      </c>
      <c r="C9">
        <v>16.5</v>
      </c>
      <c r="D9">
        <f t="shared" ref="D9:D29" si="2">10/C9</f>
        <v>0.60606060606060608</v>
      </c>
      <c r="E9">
        <f t="shared" si="1"/>
        <v>45.393939393939391</v>
      </c>
      <c r="P9">
        <f t="shared" si="0"/>
        <v>0.25806451612903225</v>
      </c>
    </row>
    <row r="10" spans="1:17" x14ac:dyDescent="0.2">
      <c r="A10" t="s">
        <v>9</v>
      </c>
      <c r="B10" t="s">
        <v>37</v>
      </c>
      <c r="C10">
        <v>1.96</v>
      </c>
      <c r="D10">
        <f t="shared" si="2"/>
        <v>5.1020408163265305</v>
      </c>
      <c r="E10">
        <f t="shared" si="1"/>
        <v>40.897959183673471</v>
      </c>
      <c r="P10">
        <f t="shared" si="0"/>
        <v>0.35164835164835168</v>
      </c>
    </row>
    <row r="11" spans="1:17" x14ac:dyDescent="0.2">
      <c r="A11" t="s">
        <v>10</v>
      </c>
      <c r="B11" t="s">
        <v>38</v>
      </c>
      <c r="C11">
        <v>6.2</v>
      </c>
      <c r="D11">
        <f t="shared" si="2"/>
        <v>1.6129032258064515</v>
      </c>
      <c r="E11">
        <f t="shared" si="1"/>
        <v>44.387096774193552</v>
      </c>
      <c r="P11">
        <f t="shared" si="0"/>
        <v>0.23668639053254439</v>
      </c>
    </row>
    <row r="12" spans="1:17" x14ac:dyDescent="0.2">
      <c r="A12" t="s">
        <v>11</v>
      </c>
      <c r="B12" t="s">
        <v>39</v>
      </c>
      <c r="C12">
        <v>4.55</v>
      </c>
      <c r="D12">
        <f t="shared" si="2"/>
        <v>2.197802197802198</v>
      </c>
      <c r="E12">
        <f t="shared" si="1"/>
        <v>43.802197802197803</v>
      </c>
      <c r="P12">
        <f t="shared" si="0"/>
        <v>3.5010940919037198E-2</v>
      </c>
    </row>
    <row r="13" spans="1:17" x14ac:dyDescent="0.2">
      <c r="A13" t="s">
        <v>12</v>
      </c>
      <c r="B13" t="s">
        <v>40</v>
      </c>
      <c r="C13">
        <v>6.76</v>
      </c>
      <c r="D13">
        <f t="shared" si="2"/>
        <v>1.4792899408284024</v>
      </c>
      <c r="E13">
        <f t="shared" si="1"/>
        <v>44.520710059171599</v>
      </c>
      <c r="P13">
        <f t="shared" si="0"/>
        <v>3.6529680365296809E-2</v>
      </c>
    </row>
    <row r="14" spans="1:17" x14ac:dyDescent="0.2">
      <c r="A14" t="s">
        <v>13</v>
      </c>
      <c r="B14" t="s">
        <v>41</v>
      </c>
      <c r="C14">
        <v>45.7</v>
      </c>
      <c r="D14">
        <f t="shared" si="2"/>
        <v>0.21881838074398249</v>
      </c>
      <c r="E14">
        <f t="shared" si="1"/>
        <v>45.781181619256017</v>
      </c>
      <c r="P14">
        <f t="shared" si="0"/>
        <v>8.2901554404145081E-2</v>
      </c>
    </row>
    <row r="15" spans="1:17" x14ac:dyDescent="0.2">
      <c r="A15" t="s">
        <v>14</v>
      </c>
      <c r="B15" t="s">
        <v>42</v>
      </c>
      <c r="C15">
        <v>43.8</v>
      </c>
      <c r="D15">
        <f t="shared" si="2"/>
        <v>0.22831050228310504</v>
      </c>
      <c r="E15">
        <f t="shared" si="1"/>
        <v>45.771689497716892</v>
      </c>
      <c r="P15">
        <f t="shared" si="0"/>
        <v>3.669724770642202E-2</v>
      </c>
    </row>
    <row r="16" spans="1:17" x14ac:dyDescent="0.2">
      <c r="A16" t="s">
        <v>15</v>
      </c>
      <c r="B16" t="s">
        <v>43</v>
      </c>
      <c r="C16">
        <v>19.3</v>
      </c>
      <c r="D16">
        <f t="shared" si="2"/>
        <v>0.51813471502590669</v>
      </c>
      <c r="E16">
        <f t="shared" si="1"/>
        <v>45.481865284974091</v>
      </c>
      <c r="P16">
        <f t="shared" si="0"/>
        <v>8.1632653061224483E-2</v>
      </c>
    </row>
    <row r="17" spans="1:16" x14ac:dyDescent="0.2">
      <c r="A17" t="s">
        <v>16</v>
      </c>
      <c r="B17" t="s">
        <v>44</v>
      </c>
      <c r="C17">
        <v>43.6</v>
      </c>
      <c r="D17">
        <f t="shared" si="2"/>
        <v>0.2293577981651376</v>
      </c>
      <c r="E17">
        <f t="shared" si="1"/>
        <v>45.77064220183486</v>
      </c>
      <c r="P17">
        <f t="shared" si="0"/>
        <v>3.9603960396039604E-2</v>
      </c>
    </row>
    <row r="18" spans="1:16" x14ac:dyDescent="0.2">
      <c r="A18" t="s">
        <v>17</v>
      </c>
      <c r="B18" t="s">
        <v>45</v>
      </c>
      <c r="C18">
        <v>19.600000000000001</v>
      </c>
      <c r="D18">
        <f t="shared" si="2"/>
        <v>0.51020408163265307</v>
      </c>
      <c r="E18">
        <f t="shared" si="1"/>
        <v>45.489795918367349</v>
      </c>
      <c r="P18">
        <f t="shared" si="0"/>
        <v>3.2000000000000001E-2</v>
      </c>
    </row>
    <row r="19" spans="1:16" x14ac:dyDescent="0.2">
      <c r="A19" t="s">
        <v>18</v>
      </c>
      <c r="B19" t="s">
        <v>46</v>
      </c>
      <c r="C19">
        <v>40.4</v>
      </c>
      <c r="D19">
        <f t="shared" si="2"/>
        <v>0.24752475247524752</v>
      </c>
      <c r="E19">
        <f t="shared" si="1"/>
        <v>45.75247524752475</v>
      </c>
      <c r="P19">
        <f t="shared" si="0"/>
        <v>3.3898305084745763E-2</v>
      </c>
    </row>
    <row r="20" spans="1:16" x14ac:dyDescent="0.2">
      <c r="A20" t="s">
        <v>19</v>
      </c>
      <c r="B20" t="s">
        <v>47</v>
      </c>
      <c r="C20">
        <v>50</v>
      </c>
      <c r="D20">
        <f t="shared" si="2"/>
        <v>0.2</v>
      </c>
      <c r="E20">
        <f t="shared" si="1"/>
        <v>45.8</v>
      </c>
      <c r="P20">
        <f t="shared" si="0"/>
        <v>0.43835616438356168</v>
      </c>
    </row>
    <row r="21" spans="1:16" x14ac:dyDescent="0.2">
      <c r="A21" t="s">
        <v>20</v>
      </c>
      <c r="B21" t="s">
        <v>48</v>
      </c>
      <c r="C21">
        <v>47.2</v>
      </c>
      <c r="D21">
        <f t="shared" si="2"/>
        <v>0.21186440677966101</v>
      </c>
      <c r="E21">
        <f t="shared" si="1"/>
        <v>45.788135593220339</v>
      </c>
      <c r="P21">
        <f t="shared" si="0"/>
        <v>0.32854209445585214</v>
      </c>
    </row>
    <row r="22" spans="1:16" x14ac:dyDescent="0.2">
      <c r="A22" t="s">
        <v>21</v>
      </c>
      <c r="B22" t="s">
        <v>49</v>
      </c>
      <c r="C22">
        <v>3.65</v>
      </c>
      <c r="D22">
        <f t="shared" si="2"/>
        <v>2.7397260273972601</v>
      </c>
      <c r="E22">
        <f t="shared" si="1"/>
        <v>43.260273972602739</v>
      </c>
      <c r="P22">
        <f t="shared" si="0"/>
        <v>0.50955414012738853</v>
      </c>
    </row>
    <row r="23" spans="1:16" x14ac:dyDescent="0.2">
      <c r="A23" t="s">
        <v>22</v>
      </c>
      <c r="B23" t="s">
        <v>50</v>
      </c>
      <c r="C23">
        <v>4.87</v>
      </c>
      <c r="D23">
        <f t="shared" si="2"/>
        <v>2.0533880903490758</v>
      </c>
      <c r="E23">
        <f t="shared" si="1"/>
        <v>43.946611909650926</v>
      </c>
      <c r="P23">
        <f t="shared" si="0"/>
        <v>0.8421052631578948</v>
      </c>
    </row>
    <row r="24" spans="1:16" x14ac:dyDescent="0.2">
      <c r="A24" t="s">
        <v>23</v>
      </c>
      <c r="B24" t="s">
        <v>51</v>
      </c>
      <c r="C24">
        <v>3.14</v>
      </c>
      <c r="D24">
        <f t="shared" si="2"/>
        <v>3.1847133757961781</v>
      </c>
      <c r="E24">
        <f t="shared" si="1"/>
        <v>42.815286624203821</v>
      </c>
      <c r="P24">
        <f t="shared" si="0"/>
        <v>0.3493449781659389</v>
      </c>
    </row>
    <row r="25" spans="1:16" x14ac:dyDescent="0.2">
      <c r="A25" t="s">
        <v>24</v>
      </c>
      <c r="B25" t="s">
        <v>52</v>
      </c>
      <c r="C25">
        <v>1.9</v>
      </c>
      <c r="D25">
        <f t="shared" si="2"/>
        <v>5.2631578947368425</v>
      </c>
      <c r="E25">
        <f t="shared" si="1"/>
        <v>40.736842105263158</v>
      </c>
      <c r="P25">
        <f t="shared" si="0"/>
        <v>0.42328042328042331</v>
      </c>
    </row>
    <row r="26" spans="1:16" x14ac:dyDescent="0.2">
      <c r="A26" t="s">
        <v>25</v>
      </c>
      <c r="B26" t="s">
        <v>53</v>
      </c>
      <c r="C26">
        <v>4.58</v>
      </c>
      <c r="D26">
        <f t="shared" si="2"/>
        <v>2.1834061135371177</v>
      </c>
      <c r="E26">
        <f t="shared" si="1"/>
        <v>43.816593886462883</v>
      </c>
      <c r="P26">
        <f t="shared" si="0"/>
        <v>0.13793103448275862</v>
      </c>
    </row>
    <row r="27" spans="1:16" x14ac:dyDescent="0.2">
      <c r="A27" t="s">
        <v>26</v>
      </c>
      <c r="B27" t="s">
        <v>54</v>
      </c>
      <c r="C27">
        <v>3.78</v>
      </c>
      <c r="D27">
        <f t="shared" si="2"/>
        <v>2.6455026455026456</v>
      </c>
      <c r="E27">
        <f t="shared" si="1"/>
        <v>43.354497354497354</v>
      </c>
      <c r="P27">
        <f t="shared" si="0"/>
        <v>0.15686274509803924</v>
      </c>
    </row>
    <row r="28" spans="1:16" x14ac:dyDescent="0.2">
      <c r="A28" t="s">
        <v>27</v>
      </c>
      <c r="B28" t="s">
        <v>55</v>
      </c>
      <c r="C28">
        <v>11.6</v>
      </c>
      <c r="D28">
        <f t="shared" si="2"/>
        <v>0.86206896551724144</v>
      </c>
      <c r="E28">
        <f t="shared" si="1"/>
        <v>45.137931034482762</v>
      </c>
      <c r="P28" t="e">
        <f t="shared" si="0"/>
        <v>#VALUE!</v>
      </c>
    </row>
    <row r="29" spans="1:16" x14ac:dyDescent="0.2">
      <c r="A29" t="s">
        <v>28</v>
      </c>
      <c r="B29" t="s">
        <v>56</v>
      </c>
      <c r="C29">
        <v>10.199999999999999</v>
      </c>
      <c r="D29">
        <f t="shared" si="2"/>
        <v>0.98039215686274517</v>
      </c>
      <c r="E29">
        <f t="shared" si="1"/>
        <v>45.019607843137251</v>
      </c>
      <c r="P29" t="e">
        <f t="shared" si="0"/>
        <v>#VALUE!</v>
      </c>
    </row>
    <row r="30" spans="1:16" x14ac:dyDescent="0.2">
      <c r="A30" t="s">
        <v>29</v>
      </c>
      <c r="B30" t="s">
        <v>57</v>
      </c>
      <c r="C30" t="s">
        <v>32</v>
      </c>
      <c r="D30" t="e">
        <f>10/C30</f>
        <v>#VALUE!</v>
      </c>
      <c r="E30" t="e">
        <f t="shared" si="1"/>
        <v>#VALUE!</v>
      </c>
      <c r="P30">
        <f t="shared" si="0"/>
        <v>0.18306636155606407</v>
      </c>
    </row>
    <row r="31" spans="1:16" x14ac:dyDescent="0.2">
      <c r="A31" t="s">
        <v>30</v>
      </c>
      <c r="B31" t="s">
        <v>58</v>
      </c>
      <c r="C31" t="s">
        <v>32</v>
      </c>
      <c r="D31" t="e">
        <f>10/C31</f>
        <v>#VALUE!</v>
      </c>
      <c r="E31" t="e">
        <f t="shared" si="1"/>
        <v>#VALUE!</v>
      </c>
      <c r="P31">
        <f t="shared" si="0"/>
        <v>8.0808080808080815E-2</v>
      </c>
    </row>
    <row r="32" spans="1:16" x14ac:dyDescent="0.2">
      <c r="A32">
        <v>1</v>
      </c>
      <c r="B32" t="s">
        <v>59</v>
      </c>
      <c r="C32">
        <v>8.74</v>
      </c>
      <c r="D32">
        <f>10/C32</f>
        <v>1.1441647597254003</v>
      </c>
      <c r="E32">
        <f t="shared" si="1"/>
        <v>44.855835240274601</v>
      </c>
      <c r="P32">
        <f t="shared" si="0"/>
        <v>0.1553398058252427</v>
      </c>
    </row>
    <row r="33" spans="1:16" x14ac:dyDescent="0.2">
      <c r="A33">
        <v>2</v>
      </c>
      <c r="B33" t="s">
        <v>60</v>
      </c>
      <c r="C33">
        <v>19.8</v>
      </c>
      <c r="D33">
        <f t="shared" ref="D33:D55" si="3">10/C33</f>
        <v>0.50505050505050508</v>
      </c>
      <c r="E33">
        <f t="shared" si="1"/>
        <v>45.494949494949495</v>
      </c>
      <c r="P33">
        <f t="shared" si="0"/>
        <v>5.5944055944055944E-2</v>
      </c>
    </row>
    <row r="34" spans="1:16" x14ac:dyDescent="0.2">
      <c r="A34">
        <v>3</v>
      </c>
      <c r="B34" t="s">
        <v>61</v>
      </c>
      <c r="C34">
        <v>10.3</v>
      </c>
      <c r="D34">
        <f t="shared" si="3"/>
        <v>0.97087378640776689</v>
      </c>
      <c r="E34">
        <f t="shared" si="1"/>
        <v>45.029126213592235</v>
      </c>
      <c r="P34">
        <f t="shared" si="0"/>
        <v>0.36281179138321995</v>
      </c>
    </row>
    <row r="35" spans="1:16" x14ac:dyDescent="0.2">
      <c r="A35">
        <v>4</v>
      </c>
      <c r="B35" t="s">
        <v>62</v>
      </c>
      <c r="C35">
        <v>28.6</v>
      </c>
      <c r="D35">
        <f t="shared" si="3"/>
        <v>0.34965034965034963</v>
      </c>
      <c r="E35">
        <f t="shared" si="1"/>
        <v>45.650349650349654</v>
      </c>
      <c r="P35">
        <f t="shared" si="0"/>
        <v>0.49535603715170284</v>
      </c>
    </row>
    <row r="36" spans="1:16" x14ac:dyDescent="0.2">
      <c r="A36">
        <v>5</v>
      </c>
      <c r="B36" t="s">
        <v>63</v>
      </c>
      <c r="C36">
        <v>4.41</v>
      </c>
      <c r="D36">
        <f t="shared" si="3"/>
        <v>2.2675736961451247</v>
      </c>
      <c r="E36">
        <f t="shared" si="1"/>
        <v>43.732426303854872</v>
      </c>
      <c r="P36">
        <f t="shared" si="0"/>
        <v>1.118881118881119</v>
      </c>
    </row>
    <row r="37" spans="1:16" x14ac:dyDescent="0.2">
      <c r="A37">
        <v>6</v>
      </c>
      <c r="B37" t="s">
        <v>64</v>
      </c>
      <c r="C37">
        <v>3.23</v>
      </c>
      <c r="D37">
        <f t="shared" si="3"/>
        <v>3.0959752321981426</v>
      </c>
      <c r="E37">
        <f t="shared" si="1"/>
        <v>42.904024767801857</v>
      </c>
      <c r="P37">
        <f t="shared" si="0"/>
        <v>0.53872053872053871</v>
      </c>
    </row>
    <row r="38" spans="1:16" x14ac:dyDescent="0.2">
      <c r="A38">
        <v>7</v>
      </c>
      <c r="B38" t="s">
        <v>65</v>
      </c>
      <c r="C38">
        <v>1.43</v>
      </c>
      <c r="D38">
        <f t="shared" si="3"/>
        <v>6.9930069930069934</v>
      </c>
      <c r="E38">
        <f t="shared" si="1"/>
        <v>39.006993006993007</v>
      </c>
      <c r="P38">
        <f t="shared" si="0"/>
        <v>7.1428571428571438E-2</v>
      </c>
    </row>
    <row r="39" spans="1:16" x14ac:dyDescent="0.2">
      <c r="A39">
        <v>8</v>
      </c>
      <c r="B39" t="s">
        <v>66</v>
      </c>
      <c r="C39">
        <v>2.97</v>
      </c>
      <c r="D39">
        <f t="shared" si="3"/>
        <v>3.3670033670033668</v>
      </c>
      <c r="E39">
        <f t="shared" si="1"/>
        <v>42.632996632996637</v>
      </c>
      <c r="P39">
        <f t="shared" si="0"/>
        <v>4.2216358839050137E-2</v>
      </c>
    </row>
    <row r="40" spans="1:16" x14ac:dyDescent="0.2">
      <c r="A40">
        <v>9</v>
      </c>
      <c r="B40" t="s">
        <v>67</v>
      </c>
      <c r="C40">
        <v>22.4</v>
      </c>
      <c r="D40">
        <f t="shared" si="3"/>
        <v>0.44642857142857145</v>
      </c>
      <c r="E40">
        <f t="shared" si="1"/>
        <v>45.553571428571431</v>
      </c>
      <c r="P40">
        <f t="shared" si="0"/>
        <v>5.1118210862619813E-2</v>
      </c>
    </row>
    <row r="41" spans="1:16" x14ac:dyDescent="0.2">
      <c r="A41">
        <v>10</v>
      </c>
      <c r="B41" t="s">
        <v>68</v>
      </c>
      <c r="C41">
        <v>37.9</v>
      </c>
      <c r="D41">
        <f t="shared" si="3"/>
        <v>0.26385224274406333</v>
      </c>
      <c r="E41">
        <f t="shared" si="1"/>
        <v>45.736147757255935</v>
      </c>
      <c r="P41">
        <f t="shared" si="0"/>
        <v>8.7912087912087919E-2</v>
      </c>
    </row>
    <row r="42" spans="1:16" x14ac:dyDescent="0.2">
      <c r="A42">
        <v>11</v>
      </c>
      <c r="B42" t="s">
        <v>69</v>
      </c>
      <c r="C42">
        <v>31.3</v>
      </c>
      <c r="D42">
        <f t="shared" si="3"/>
        <v>0.31948881789137379</v>
      </c>
      <c r="E42">
        <f t="shared" si="1"/>
        <v>45.680511182108624</v>
      </c>
      <c r="P42">
        <f t="shared" si="0"/>
        <v>5.2805280528052806E-2</v>
      </c>
    </row>
    <row r="43" spans="1:16" x14ac:dyDescent="0.2">
      <c r="A43">
        <v>12</v>
      </c>
      <c r="B43" t="s">
        <v>70</v>
      </c>
      <c r="C43">
        <v>18.2</v>
      </c>
      <c r="D43">
        <f t="shared" si="3"/>
        <v>0.5494505494505495</v>
      </c>
      <c r="E43">
        <f t="shared" si="1"/>
        <v>45.450549450549453</v>
      </c>
      <c r="P43">
        <f t="shared" si="0"/>
        <v>4.5454545454545456E-2</v>
      </c>
    </row>
    <row r="44" spans="1:16" x14ac:dyDescent="0.2">
      <c r="A44">
        <v>13</v>
      </c>
      <c r="B44" t="s">
        <v>71</v>
      </c>
      <c r="C44">
        <v>30.3</v>
      </c>
      <c r="D44">
        <f t="shared" si="3"/>
        <v>0.33003300330033003</v>
      </c>
      <c r="E44">
        <f t="shared" si="1"/>
        <v>45.669966996699671</v>
      </c>
      <c r="P44">
        <f t="shared" si="0"/>
        <v>5.2459016393442623E-2</v>
      </c>
    </row>
    <row r="45" spans="1:16" x14ac:dyDescent="0.2">
      <c r="A45">
        <v>14</v>
      </c>
      <c r="B45" t="s">
        <v>72</v>
      </c>
      <c r="C45">
        <v>35.200000000000003</v>
      </c>
      <c r="D45">
        <f t="shared" si="3"/>
        <v>0.28409090909090906</v>
      </c>
      <c r="E45">
        <f t="shared" si="1"/>
        <v>45.715909090909093</v>
      </c>
      <c r="P45">
        <f t="shared" si="0"/>
        <v>3.8095238095238099E-2</v>
      </c>
    </row>
    <row r="46" spans="1:16" x14ac:dyDescent="0.2">
      <c r="A46">
        <v>15</v>
      </c>
      <c r="B46" t="s">
        <v>73</v>
      </c>
      <c r="C46">
        <v>30.5</v>
      </c>
      <c r="D46">
        <f t="shared" si="3"/>
        <v>0.32786885245901637</v>
      </c>
      <c r="E46">
        <f t="shared" si="1"/>
        <v>45.672131147540981</v>
      </c>
      <c r="P46">
        <f t="shared" si="0"/>
        <v>0.22471910112359553</v>
      </c>
    </row>
    <row r="47" spans="1:16" x14ac:dyDescent="0.2">
      <c r="A47">
        <v>16</v>
      </c>
      <c r="B47" t="s">
        <v>74</v>
      </c>
      <c r="C47">
        <v>42</v>
      </c>
      <c r="D47">
        <f t="shared" si="3"/>
        <v>0.23809523809523808</v>
      </c>
      <c r="E47">
        <f t="shared" si="1"/>
        <v>45.761904761904759</v>
      </c>
      <c r="P47">
        <f>1.6/C49</f>
        <v>0.20356234096692113</v>
      </c>
    </row>
    <row r="48" spans="1:16" x14ac:dyDescent="0.2">
      <c r="A48">
        <v>17</v>
      </c>
      <c r="B48" t="s">
        <v>75</v>
      </c>
      <c r="C48">
        <v>7.12</v>
      </c>
      <c r="D48">
        <f t="shared" si="3"/>
        <v>1.4044943820224718</v>
      </c>
      <c r="E48">
        <f t="shared" si="1"/>
        <v>44.59550561797753</v>
      </c>
      <c r="P48">
        <f t="shared" si="0"/>
        <v>0.8421052631578948</v>
      </c>
    </row>
    <row r="49" spans="1:16" x14ac:dyDescent="0.2">
      <c r="A49">
        <v>18</v>
      </c>
      <c r="B49" t="s">
        <v>76</v>
      </c>
      <c r="C49">
        <v>7.86</v>
      </c>
      <c r="D49">
        <f t="shared" si="3"/>
        <v>1.272264631043257</v>
      </c>
      <c r="E49">
        <f>46-D49</f>
        <v>44.727735368956743</v>
      </c>
      <c r="P49">
        <f t="shared" si="0"/>
        <v>0.30131826741996237</v>
      </c>
    </row>
    <row r="50" spans="1:16" x14ac:dyDescent="0.2">
      <c r="A50">
        <v>19</v>
      </c>
      <c r="B50" t="s">
        <v>77</v>
      </c>
      <c r="C50">
        <v>1.9</v>
      </c>
      <c r="D50">
        <f t="shared" si="3"/>
        <v>5.2631578947368425</v>
      </c>
      <c r="E50">
        <f t="shared" si="1"/>
        <v>40.736842105263158</v>
      </c>
      <c r="P50">
        <f t="shared" si="0"/>
        <v>0.46920821114369504</v>
      </c>
    </row>
    <row r="51" spans="1:16" x14ac:dyDescent="0.2">
      <c r="A51">
        <v>20</v>
      </c>
      <c r="B51" t="s">
        <v>78</v>
      </c>
      <c r="C51">
        <v>5.31</v>
      </c>
      <c r="D51">
        <f t="shared" si="3"/>
        <v>1.8832391713747647</v>
      </c>
      <c r="E51">
        <f t="shared" si="1"/>
        <v>44.116760828625232</v>
      </c>
      <c r="P51">
        <f t="shared" si="0"/>
        <v>0.215633423180593</v>
      </c>
    </row>
    <row r="52" spans="1:16" x14ac:dyDescent="0.2">
      <c r="A52">
        <v>21</v>
      </c>
      <c r="B52" t="s">
        <v>79</v>
      </c>
      <c r="C52">
        <v>3.41</v>
      </c>
      <c r="D52">
        <f t="shared" si="3"/>
        <v>2.9325513196480939</v>
      </c>
      <c r="E52">
        <f t="shared" si="1"/>
        <v>43.067448680351909</v>
      </c>
      <c r="P52">
        <f t="shared" si="0"/>
        <v>0.47337278106508879</v>
      </c>
    </row>
    <row r="53" spans="1:16" x14ac:dyDescent="0.2">
      <c r="A53">
        <v>22</v>
      </c>
      <c r="B53" t="s">
        <v>80</v>
      </c>
      <c r="C53">
        <v>7.42</v>
      </c>
      <c r="D53">
        <f t="shared" si="3"/>
        <v>1.3477088948787062</v>
      </c>
      <c r="E53">
        <f t="shared" si="1"/>
        <v>44.652291105121293</v>
      </c>
      <c r="P53">
        <f t="shared" si="0"/>
        <v>3.9119804400978002E-2</v>
      </c>
    </row>
    <row r="54" spans="1:16" x14ac:dyDescent="0.2">
      <c r="A54">
        <v>23</v>
      </c>
      <c r="B54" t="s">
        <v>81</v>
      </c>
      <c r="C54">
        <v>3.38</v>
      </c>
      <c r="D54">
        <f t="shared" si="3"/>
        <v>2.9585798816568047</v>
      </c>
      <c r="E54">
        <f t="shared" si="1"/>
        <v>43.041420118343197</v>
      </c>
      <c r="P54">
        <f t="shared" si="0"/>
        <v>32</v>
      </c>
    </row>
    <row r="55" spans="1:16" x14ac:dyDescent="0.2">
      <c r="A55">
        <v>24</v>
      </c>
      <c r="B55" t="s">
        <v>82</v>
      </c>
      <c r="C55">
        <v>40.9</v>
      </c>
      <c r="D55">
        <f t="shared" si="3"/>
        <v>0.24449877750611249</v>
      </c>
      <c r="E55">
        <f t="shared" si="1"/>
        <v>45.755501222493891</v>
      </c>
      <c r="P55" t="e">
        <f t="shared" si="0"/>
        <v>#VALUE!</v>
      </c>
    </row>
    <row r="56" spans="1:16" x14ac:dyDescent="0.2">
      <c r="A56">
        <v>25</v>
      </c>
      <c r="B56" t="s">
        <v>83</v>
      </c>
      <c r="C56">
        <v>0.05</v>
      </c>
    </row>
    <row r="57" spans="1:16" x14ac:dyDescent="0.2">
      <c r="A57">
        <v>26</v>
      </c>
      <c r="B57" t="s">
        <v>84</v>
      </c>
      <c r="C5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O'Brien</dc:creator>
  <cp:lastModifiedBy>Joy O'Brien</cp:lastModifiedBy>
  <dcterms:created xsi:type="dcterms:W3CDTF">2022-03-31T20:25:36Z</dcterms:created>
  <dcterms:modified xsi:type="dcterms:W3CDTF">2023-04-07T21:42:34Z</dcterms:modified>
</cp:coreProperties>
</file>