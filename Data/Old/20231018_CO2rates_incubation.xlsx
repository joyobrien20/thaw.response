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GitHub/Masters_publication/"/>
    </mc:Choice>
  </mc:AlternateContent>
  <xr:revisionPtr revIDLastSave="0" documentId="13_ncr:1_{639772C6-3807-4240-9E44-687174BBDFAC}" xr6:coauthVersionLast="47" xr6:coauthVersionMax="47" xr10:uidLastSave="{00000000-0000-0000-0000-000000000000}"/>
  <bookViews>
    <workbookView xWindow="320" yWindow="760" windowWidth="30240" windowHeight="17740" xr2:uid="{394CE3BC-0085-4F41-9AAD-447919377110}"/>
  </bookViews>
  <sheets>
    <sheet name="Calculations" sheetId="1" r:id="rId1"/>
    <sheet name="Vol_soil_calc" sheetId="9" r:id="rId2"/>
    <sheet name="TC" sheetId="10" r:id="rId3"/>
    <sheet name="Per_hour_RATE_Summary" sheetId="8" r:id="rId4"/>
    <sheet name="Per_hour_RATE_Summary_figs" sheetId="2" r:id="rId5"/>
    <sheet name="Cumulative_Resp_rate" sheetId="12" r:id="rId6"/>
    <sheet name="Cumulative_rate_avgs_core" sheetId="20" r:id="rId7"/>
    <sheet name="Cumulative_rate_figures" sheetId="19" r:id="rId8"/>
    <sheet name="Cumulative_avg_site" sheetId="21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1" l="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C6" i="21"/>
  <c r="D5" i="21"/>
  <c r="D4" i="21"/>
  <c r="D2" i="21"/>
  <c r="C2" i="21"/>
  <c r="D3" i="21"/>
  <c r="C3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5" i="21"/>
  <c r="C4" i="21"/>
  <c r="D13" i="20"/>
  <c r="D12" i="20"/>
  <c r="D11" i="20"/>
  <c r="D10" i="20"/>
  <c r="D9" i="20"/>
  <c r="D8" i="20"/>
  <c r="D7" i="20"/>
  <c r="D6" i="20"/>
  <c r="D5" i="20"/>
  <c r="D4" i="20"/>
  <c r="D3" i="20"/>
  <c r="D2" i="20"/>
  <c r="U16" i="19"/>
  <c r="U17" i="19"/>
  <c r="U18" i="19"/>
  <c r="U19" i="19"/>
  <c r="U20" i="19"/>
  <c r="U21" i="19"/>
  <c r="U22" i="19"/>
  <c r="U23" i="19"/>
  <c r="U24" i="19"/>
  <c r="U25" i="19"/>
  <c r="U26" i="19"/>
  <c r="T16" i="19"/>
  <c r="T17" i="19"/>
  <c r="T18" i="19"/>
  <c r="T19" i="19"/>
  <c r="T20" i="19"/>
  <c r="T21" i="19"/>
  <c r="T22" i="19"/>
  <c r="T23" i="19"/>
  <c r="T24" i="19"/>
  <c r="T25" i="19"/>
  <c r="T26" i="19"/>
  <c r="S16" i="19"/>
  <c r="S17" i="19"/>
  <c r="S18" i="19"/>
  <c r="S19" i="19"/>
  <c r="S20" i="19"/>
  <c r="S21" i="19"/>
  <c r="S22" i="19"/>
  <c r="S23" i="19"/>
  <c r="S24" i="19"/>
  <c r="S25" i="19"/>
  <c r="S26" i="19"/>
  <c r="R16" i="19"/>
  <c r="R17" i="19"/>
  <c r="R18" i="19"/>
  <c r="R19" i="19"/>
  <c r="R20" i="19"/>
  <c r="R21" i="19"/>
  <c r="R22" i="19"/>
  <c r="R23" i="19"/>
  <c r="R24" i="19"/>
  <c r="R25" i="19"/>
  <c r="R26" i="19"/>
  <c r="Q16" i="19"/>
  <c r="Q17" i="19"/>
  <c r="Q18" i="19"/>
  <c r="Q19" i="19"/>
  <c r="Q20" i="19"/>
  <c r="Q21" i="19"/>
  <c r="Q22" i="19"/>
  <c r="Q23" i="19"/>
  <c r="Q24" i="19"/>
  <c r="Q25" i="19"/>
  <c r="Q26" i="19"/>
  <c r="P16" i="19"/>
  <c r="P17" i="19"/>
  <c r="P18" i="19"/>
  <c r="P19" i="19"/>
  <c r="P20" i="19"/>
  <c r="P21" i="19"/>
  <c r="P22" i="19"/>
  <c r="P23" i="19"/>
  <c r="P24" i="19"/>
  <c r="P25" i="19"/>
  <c r="P26" i="19"/>
  <c r="O16" i="19"/>
  <c r="O17" i="19"/>
  <c r="O18" i="19"/>
  <c r="O19" i="19"/>
  <c r="O20" i="19"/>
  <c r="O21" i="19"/>
  <c r="O22" i="19"/>
  <c r="O23" i="19"/>
  <c r="O24" i="19"/>
  <c r="O25" i="19"/>
  <c r="O26" i="19"/>
  <c r="N16" i="19"/>
  <c r="N17" i="19"/>
  <c r="N18" i="19"/>
  <c r="N19" i="19"/>
  <c r="N20" i="19"/>
  <c r="N21" i="19"/>
  <c r="N22" i="19"/>
  <c r="N23" i="19"/>
  <c r="N24" i="19"/>
  <c r="N25" i="19"/>
  <c r="N26" i="19"/>
  <c r="M16" i="19"/>
  <c r="M17" i="19"/>
  <c r="M18" i="19"/>
  <c r="M19" i="19"/>
  <c r="M20" i="19"/>
  <c r="M21" i="19"/>
  <c r="M22" i="19"/>
  <c r="M23" i="19"/>
  <c r="M24" i="19"/>
  <c r="M25" i="19"/>
  <c r="M26" i="19"/>
  <c r="L16" i="19"/>
  <c r="L17" i="19"/>
  <c r="L18" i="19"/>
  <c r="L19" i="19"/>
  <c r="L20" i="19"/>
  <c r="L21" i="19"/>
  <c r="L22" i="19"/>
  <c r="L23" i="19"/>
  <c r="L24" i="19"/>
  <c r="L25" i="19"/>
  <c r="L26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D16" i="19"/>
  <c r="D17" i="19"/>
  <c r="D18" i="19"/>
  <c r="D19" i="19"/>
  <c r="D20" i="19"/>
  <c r="D21" i="19"/>
  <c r="D22" i="19"/>
  <c r="D23" i="19"/>
  <c r="D24" i="19"/>
  <c r="D25" i="19"/>
  <c r="D26" i="19"/>
  <c r="C26" i="19"/>
  <c r="C17" i="19"/>
  <c r="C18" i="19"/>
  <c r="C19" i="19"/>
  <c r="C20" i="19"/>
  <c r="C21" i="19"/>
  <c r="C22" i="19"/>
  <c r="C23" i="19"/>
  <c r="C24" i="19"/>
  <c r="C25" i="19"/>
  <c r="C16" i="19"/>
  <c r="B3" i="19"/>
  <c r="C3" i="19" s="1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D15" i="19"/>
  <c r="C15" i="19"/>
  <c r="H14" i="19"/>
  <c r="G14" i="19"/>
  <c r="F14" i="19"/>
  <c r="E14" i="19"/>
  <c r="D14" i="19"/>
  <c r="C14" i="19"/>
  <c r="L13" i="19"/>
  <c r="M13" i="19" s="1"/>
  <c r="N13" i="19" s="1"/>
  <c r="O13" i="19" s="1"/>
  <c r="P13" i="19" s="1"/>
  <c r="Q13" i="19" s="1"/>
  <c r="R13" i="19" s="1"/>
  <c r="S13" i="19" s="1"/>
  <c r="T13" i="19" s="1"/>
  <c r="U13" i="19" s="1"/>
  <c r="H13" i="19"/>
  <c r="G13" i="19"/>
  <c r="F13" i="19"/>
  <c r="E13" i="19"/>
  <c r="D13" i="19"/>
  <c r="C13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4" i="12"/>
  <c r="J22" i="9"/>
  <c r="J23" i="9"/>
  <c r="J24" i="9"/>
  <c r="J25" i="9"/>
  <c r="J21" i="9"/>
  <c r="J20" i="9"/>
  <c r="J19" i="9"/>
  <c r="J18" i="9"/>
  <c r="J14" i="9"/>
  <c r="J15" i="9"/>
  <c r="J16" i="9"/>
  <c r="J17" i="9"/>
  <c r="J10" i="9"/>
  <c r="J11" i="9"/>
  <c r="J12" i="9"/>
  <c r="J13" i="9"/>
  <c r="J6" i="9"/>
  <c r="J7" i="9"/>
  <c r="J8" i="9"/>
  <c r="J9" i="9"/>
  <c r="J2" i="9"/>
  <c r="J3" i="9"/>
  <c r="J4" i="9"/>
  <c r="J5" i="9"/>
  <c r="G5" i="9" a="1"/>
  <c r="I25" i="9" s="1"/>
  <c r="F25" i="9" s="1"/>
  <c r="G4" i="9"/>
  <c r="I4" i="9" s="1"/>
  <c r="G3" i="9"/>
  <c r="I3" i="9" s="1"/>
  <c r="F3" i="9" s="1"/>
  <c r="G2" i="9"/>
  <c r="I2" i="9" s="1"/>
  <c r="F2" i="9" s="1"/>
  <c r="G3" i="1"/>
  <c r="I3" i="1" s="1"/>
  <c r="G4" i="1"/>
  <c r="I4" i="1" s="1"/>
  <c r="G5" i="1"/>
  <c r="I5" i="1" s="1"/>
  <c r="G6" i="1" a="1"/>
  <c r="I9" i="1" s="1"/>
  <c r="C3" i="10"/>
  <c r="C4" i="10"/>
  <c r="C5" i="10"/>
  <c r="C6" i="10"/>
  <c r="C7" i="10"/>
  <c r="C2" i="10"/>
  <c r="L14" i="19" l="1"/>
  <c r="M14" i="19" s="1"/>
  <c r="N14" i="19" s="1"/>
  <c r="O14" i="19" s="1"/>
  <c r="P14" i="19" s="1"/>
  <c r="Q14" i="19" s="1"/>
  <c r="R14" i="19" s="1"/>
  <c r="S14" i="19" s="1"/>
  <c r="T14" i="19" s="1"/>
  <c r="U14" i="19" s="1"/>
  <c r="L15" i="19"/>
  <c r="M15" i="19" s="1"/>
  <c r="N15" i="19" s="1"/>
  <c r="O15" i="19" s="1"/>
  <c r="P15" i="19" s="1"/>
  <c r="Q15" i="19" s="1"/>
  <c r="R15" i="19" s="1"/>
  <c r="S15" i="19" s="1"/>
  <c r="T15" i="19" s="1"/>
  <c r="U15" i="19" s="1"/>
  <c r="I24" i="1"/>
  <c r="I16" i="1"/>
  <c r="I8" i="1"/>
  <c r="I16" i="9"/>
  <c r="F16" i="9" s="1"/>
  <c r="P3" i="9"/>
  <c r="O3" i="9" s="1"/>
  <c r="I24" i="9"/>
  <c r="P24" i="9" s="1"/>
  <c r="O24" i="9" s="1"/>
  <c r="I12" i="1"/>
  <c r="I8" i="9"/>
  <c r="F8" i="9" s="1"/>
  <c r="K25" i="9"/>
  <c r="M25" i="9" s="1"/>
  <c r="I22" i="1"/>
  <c r="I14" i="1"/>
  <c r="I20" i="1"/>
  <c r="I26" i="1"/>
  <c r="I18" i="1"/>
  <c r="I10" i="1"/>
  <c r="I12" i="9"/>
  <c r="P25" i="9"/>
  <c r="Q25" i="9" s="1"/>
  <c r="N25" i="9" s="1"/>
  <c r="F24" i="9"/>
  <c r="K3" i="9"/>
  <c r="M3" i="9" s="1"/>
  <c r="K2" i="9"/>
  <c r="M2" i="9" s="1"/>
  <c r="F4" i="9"/>
  <c r="P4" i="9"/>
  <c r="O4" i="9" s="1"/>
  <c r="K4" i="9"/>
  <c r="M4" i="9" s="1"/>
  <c r="P2" i="9"/>
  <c r="O2" i="9" s="1"/>
  <c r="I20" i="9"/>
  <c r="I7" i="9"/>
  <c r="I11" i="9"/>
  <c r="I15" i="9"/>
  <c r="I19" i="9"/>
  <c r="I23" i="9"/>
  <c r="G5" i="9"/>
  <c r="I5" i="9" s="1"/>
  <c r="I6" i="9"/>
  <c r="I10" i="9"/>
  <c r="I14" i="9"/>
  <c r="I18" i="9"/>
  <c r="I22" i="9"/>
  <c r="I9" i="9"/>
  <c r="I13" i="9"/>
  <c r="I17" i="9"/>
  <c r="I21" i="9"/>
  <c r="I23" i="1"/>
  <c r="I19" i="1"/>
  <c r="I15" i="1"/>
  <c r="I11" i="1"/>
  <c r="I7" i="1"/>
  <c r="G6" i="1"/>
  <c r="I6" i="1" s="1"/>
  <c r="I25" i="1"/>
  <c r="I21" i="1"/>
  <c r="I17" i="1"/>
  <c r="I13" i="1"/>
  <c r="Q3" i="9" l="1"/>
  <c r="N3" i="9" s="1"/>
  <c r="K8" i="9"/>
  <c r="M8" i="9" s="1"/>
  <c r="K24" i="9"/>
  <c r="M24" i="9" s="1"/>
  <c r="O25" i="9"/>
  <c r="L25" i="9" s="1"/>
  <c r="C26" i="1" s="1"/>
  <c r="F26" i="1" s="1"/>
  <c r="BE26" i="1"/>
  <c r="G27" i="12" s="1"/>
  <c r="AW26" i="1"/>
  <c r="F27" i="12" s="1"/>
  <c r="AO26" i="1"/>
  <c r="E27" i="12" s="1"/>
  <c r="Y26" i="1"/>
  <c r="C27" i="12" s="1"/>
  <c r="K16" i="9"/>
  <c r="M16" i="9" s="1"/>
  <c r="P8" i="9"/>
  <c r="O8" i="9" s="1"/>
  <c r="K12" i="9"/>
  <c r="M12" i="9" s="1"/>
  <c r="P16" i="9"/>
  <c r="O16" i="9" s="1"/>
  <c r="P12" i="9"/>
  <c r="O12" i="9" s="1"/>
  <c r="F12" i="9"/>
  <c r="F21" i="9"/>
  <c r="P21" i="9"/>
  <c r="O21" i="9" s="1"/>
  <c r="K21" i="9"/>
  <c r="M21" i="9" s="1"/>
  <c r="F6" i="9"/>
  <c r="P6" i="9"/>
  <c r="O6" i="9" s="1"/>
  <c r="K6" i="9"/>
  <c r="M6" i="9" s="1"/>
  <c r="F15" i="9"/>
  <c r="P15" i="9"/>
  <c r="O15" i="9" s="1"/>
  <c r="K15" i="9"/>
  <c r="M15" i="9" s="1"/>
  <c r="F17" i="9"/>
  <c r="P17" i="9"/>
  <c r="O17" i="9" s="1"/>
  <c r="K17" i="9"/>
  <c r="M17" i="9" s="1"/>
  <c r="F18" i="9"/>
  <c r="K18" i="9"/>
  <c r="M18" i="9" s="1"/>
  <c r="P18" i="9"/>
  <c r="O18" i="9" s="1"/>
  <c r="F5" i="9"/>
  <c r="P5" i="9"/>
  <c r="O5" i="9" s="1"/>
  <c r="K5" i="9"/>
  <c r="M5" i="9" s="1"/>
  <c r="F11" i="9"/>
  <c r="P11" i="9"/>
  <c r="O11" i="9" s="1"/>
  <c r="K11" i="9"/>
  <c r="M11" i="9" s="1"/>
  <c r="Q2" i="9"/>
  <c r="N2" i="9" s="1"/>
  <c r="L2" i="9" s="1"/>
  <c r="C3" i="1" s="1"/>
  <c r="F22" i="9"/>
  <c r="P22" i="9"/>
  <c r="O22" i="9" s="1"/>
  <c r="K22" i="9"/>
  <c r="M22" i="9" s="1"/>
  <c r="Q24" i="9"/>
  <c r="N24" i="9" s="1"/>
  <c r="L24" i="9" s="1"/>
  <c r="C25" i="1" s="1"/>
  <c r="F25" i="1" s="1"/>
  <c r="F13" i="9"/>
  <c r="K13" i="9"/>
  <c r="M13" i="9" s="1"/>
  <c r="P13" i="9"/>
  <c r="O13" i="9" s="1"/>
  <c r="F14" i="9"/>
  <c r="K14" i="9"/>
  <c r="M14" i="9" s="1"/>
  <c r="P14" i="9"/>
  <c r="O14" i="9" s="1"/>
  <c r="F23" i="9"/>
  <c r="K23" i="9"/>
  <c r="M23" i="9" s="1"/>
  <c r="P23" i="9"/>
  <c r="O23" i="9" s="1"/>
  <c r="F7" i="9"/>
  <c r="K7" i="9"/>
  <c r="M7" i="9" s="1"/>
  <c r="P7" i="9"/>
  <c r="O7" i="9" s="1"/>
  <c r="F9" i="9"/>
  <c r="K9" i="9"/>
  <c r="M9" i="9" s="1"/>
  <c r="P9" i="9"/>
  <c r="O9" i="9" s="1"/>
  <c r="F10" i="9"/>
  <c r="P10" i="9"/>
  <c r="O10" i="9" s="1"/>
  <c r="K10" i="9"/>
  <c r="M10" i="9" s="1"/>
  <c r="F19" i="9"/>
  <c r="K19" i="9"/>
  <c r="M19" i="9" s="1"/>
  <c r="P19" i="9"/>
  <c r="O19" i="9" s="1"/>
  <c r="F20" i="9"/>
  <c r="P20" i="9"/>
  <c r="O20" i="9" s="1"/>
  <c r="K20" i="9"/>
  <c r="M20" i="9" s="1"/>
  <c r="Q4" i="9"/>
  <c r="N4" i="9" s="1"/>
  <c r="L4" i="9" s="1"/>
  <c r="C5" i="1" s="1"/>
  <c r="F5" i="1" s="1"/>
  <c r="L3" i="9"/>
  <c r="C4" i="1" s="1"/>
  <c r="F4" i="1" s="1"/>
  <c r="AS25" i="8"/>
  <c r="AR25" i="8"/>
  <c r="AS24" i="8"/>
  <c r="AR24" i="8"/>
  <c r="AS23" i="8"/>
  <c r="AR23" i="8"/>
  <c r="AS22" i="8"/>
  <c r="AR22" i="8"/>
  <c r="AR22" i="2"/>
  <c r="AS22" i="2"/>
  <c r="AR23" i="2"/>
  <c r="AS23" i="2"/>
  <c r="AR24" i="2"/>
  <c r="AS24" i="2"/>
  <c r="AR25" i="2"/>
  <c r="AS25" i="2"/>
  <c r="Q9" i="9" l="1"/>
  <c r="N9" i="9" s="1"/>
  <c r="FM25" i="1"/>
  <c r="U26" i="12" s="1"/>
  <c r="FE25" i="1"/>
  <c r="T26" i="12" s="1"/>
  <c r="Q25" i="1"/>
  <c r="B26" i="12" s="1"/>
  <c r="AG25" i="1"/>
  <c r="D26" i="12" s="1"/>
  <c r="EW25" i="1"/>
  <c r="S26" i="12" s="1"/>
  <c r="DY25" i="1"/>
  <c r="P26" i="12" s="1"/>
  <c r="CS25" i="1"/>
  <c r="L26" i="12" s="1"/>
  <c r="BU25" i="1"/>
  <c r="I26" i="12" s="1"/>
  <c r="BE25" i="1"/>
  <c r="G26" i="12" s="1"/>
  <c r="DQ25" i="1"/>
  <c r="O26" i="12" s="1"/>
  <c r="DI25" i="1"/>
  <c r="N26" i="12" s="1"/>
  <c r="DA25" i="1"/>
  <c r="M26" i="12" s="1"/>
  <c r="CK25" i="1"/>
  <c r="K26" i="12" s="1"/>
  <c r="CC25" i="1"/>
  <c r="J26" i="12" s="1"/>
  <c r="AW25" i="1"/>
  <c r="F26" i="12" s="1"/>
  <c r="AO25" i="1"/>
  <c r="E26" i="12" s="1"/>
  <c r="Q16" i="9"/>
  <c r="N16" i="9" s="1"/>
  <c r="L16" i="9" s="1"/>
  <c r="C17" i="1" s="1"/>
  <c r="F17" i="1" s="1"/>
  <c r="Y25" i="1"/>
  <c r="C26" i="12" s="1"/>
  <c r="BM25" i="1"/>
  <c r="H26" i="12" s="1"/>
  <c r="EO25" i="1"/>
  <c r="R26" i="12" s="1"/>
  <c r="FM5" i="1"/>
  <c r="U6" i="12" s="1"/>
  <c r="FE5" i="1"/>
  <c r="T6" i="12" s="1"/>
  <c r="EG5" i="1"/>
  <c r="Q6" i="12" s="1"/>
  <c r="DQ5" i="1"/>
  <c r="O6" i="12" s="1"/>
  <c r="DY5" i="1"/>
  <c r="P6" i="12" s="1"/>
  <c r="Y5" i="1"/>
  <c r="C6" i="12" s="1"/>
  <c r="BU5" i="1"/>
  <c r="I6" i="12" s="1"/>
  <c r="DA5" i="1"/>
  <c r="M6" i="12" s="1"/>
  <c r="CK5" i="1"/>
  <c r="K6" i="12" s="1"/>
  <c r="CC5" i="1"/>
  <c r="J6" i="12" s="1"/>
  <c r="BE5" i="1"/>
  <c r="G6" i="12" s="1"/>
  <c r="AW5" i="1"/>
  <c r="F6" i="12" s="1"/>
  <c r="AG5" i="1"/>
  <c r="D6" i="12" s="1"/>
  <c r="Q5" i="1"/>
  <c r="B6" i="12" s="1"/>
  <c r="EW5" i="1"/>
  <c r="S6" i="12" s="1"/>
  <c r="EO5" i="1"/>
  <c r="R6" i="12" s="1"/>
  <c r="DI5" i="1"/>
  <c r="N6" i="12" s="1"/>
  <c r="CS5" i="1"/>
  <c r="L6" i="12" s="1"/>
  <c r="BM5" i="1"/>
  <c r="H6" i="12" s="1"/>
  <c r="AO5" i="1"/>
  <c r="E6" i="12" s="1"/>
  <c r="EG25" i="1"/>
  <c r="Q26" i="12" s="1"/>
  <c r="EW4" i="1"/>
  <c r="S5" i="12" s="1"/>
  <c r="FM4" i="1"/>
  <c r="U5" i="12" s="1"/>
  <c r="FE4" i="1"/>
  <c r="T5" i="12" s="1"/>
  <c r="EO4" i="1"/>
  <c r="R5" i="12" s="1"/>
  <c r="CK4" i="1"/>
  <c r="K5" i="12" s="1"/>
  <c r="BE4" i="1"/>
  <c r="G5" i="12" s="1"/>
  <c r="AW4" i="1"/>
  <c r="F5" i="12" s="1"/>
  <c r="DY4" i="1"/>
  <c r="P5" i="12" s="1"/>
  <c r="DA4" i="1"/>
  <c r="M5" i="12" s="1"/>
  <c r="CS4" i="1"/>
  <c r="L5" i="12" s="1"/>
  <c r="BM4" i="1"/>
  <c r="H5" i="12" s="1"/>
  <c r="CC4" i="1"/>
  <c r="J5" i="12" s="1"/>
  <c r="DQ4" i="1"/>
  <c r="O5" i="12" s="1"/>
  <c r="BU4" i="1"/>
  <c r="I5" i="12" s="1"/>
  <c r="AO4" i="1"/>
  <c r="E5" i="12" s="1"/>
  <c r="AG4" i="1"/>
  <c r="D5" i="12" s="1"/>
  <c r="Q4" i="1"/>
  <c r="B5" i="12" s="1"/>
  <c r="EG4" i="1"/>
  <c r="Q5" i="12" s="1"/>
  <c r="DI4" i="1"/>
  <c r="N5" i="12" s="1"/>
  <c r="Y4" i="1"/>
  <c r="C5" i="12" s="1"/>
  <c r="Q7" i="9"/>
  <c r="N7" i="9" s="1"/>
  <c r="L7" i="9" s="1"/>
  <c r="C8" i="1" s="1"/>
  <c r="F8" i="1" s="1"/>
  <c r="FM26" i="1"/>
  <c r="U27" i="12" s="1"/>
  <c r="FE26" i="1"/>
  <c r="T27" i="12" s="1"/>
  <c r="EW26" i="1"/>
  <c r="S27" i="12" s="1"/>
  <c r="DY26" i="1"/>
  <c r="P27" i="12" s="1"/>
  <c r="DQ26" i="1"/>
  <c r="O27" i="12" s="1"/>
  <c r="BU26" i="1"/>
  <c r="I27" i="12" s="1"/>
  <c r="EO26" i="1"/>
  <c r="R27" i="12" s="1"/>
  <c r="DA26" i="1"/>
  <c r="M27" i="12" s="1"/>
  <c r="CK26" i="1"/>
  <c r="K27" i="12" s="1"/>
  <c r="AG26" i="1"/>
  <c r="D27" i="12" s="1"/>
  <c r="EG26" i="1"/>
  <c r="Q27" i="12" s="1"/>
  <c r="DI26" i="1"/>
  <c r="N27" i="12" s="1"/>
  <c r="CS26" i="1"/>
  <c r="L27" i="12" s="1"/>
  <c r="CC26" i="1"/>
  <c r="J27" i="12" s="1"/>
  <c r="BM26" i="1"/>
  <c r="H27" i="12" s="1"/>
  <c r="Q26" i="1"/>
  <c r="B27" i="12" s="1"/>
  <c r="Q23" i="9"/>
  <c r="N23" i="9" s="1"/>
  <c r="L23" i="9" s="1"/>
  <c r="C24" i="1" s="1"/>
  <c r="F24" i="1" s="1"/>
  <c r="Q18" i="9"/>
  <c r="N18" i="9" s="1"/>
  <c r="Q8" i="9"/>
  <c r="N8" i="9" s="1"/>
  <c r="L8" i="9" s="1"/>
  <c r="C9" i="1" s="1"/>
  <c r="F9" i="1" s="1"/>
  <c r="Q20" i="9"/>
  <c r="N20" i="9" s="1"/>
  <c r="L20" i="9" s="1"/>
  <c r="C21" i="1" s="1"/>
  <c r="F21" i="1" s="1"/>
  <c r="Q15" i="9"/>
  <c r="N15" i="9" s="1"/>
  <c r="Q12" i="9"/>
  <c r="N12" i="9" s="1"/>
  <c r="L12" i="9" s="1"/>
  <c r="C13" i="1" s="1"/>
  <c r="F13" i="1" s="1"/>
  <c r="Q22" i="9"/>
  <c r="N22" i="9" s="1"/>
  <c r="L22" i="9" s="1"/>
  <c r="C23" i="1" s="1"/>
  <c r="F23" i="1" s="1"/>
  <c r="Q5" i="9"/>
  <c r="N5" i="9" s="1"/>
  <c r="L5" i="9" s="1"/>
  <c r="C6" i="1" s="1"/>
  <c r="F6" i="1" s="1"/>
  <c r="L18" i="9"/>
  <c r="C19" i="1" s="1"/>
  <c r="F19" i="1" s="1"/>
  <c r="Q17" i="9"/>
  <c r="N17" i="9" s="1"/>
  <c r="L17" i="9" s="1"/>
  <c r="C18" i="1" s="1"/>
  <c r="F18" i="1" s="1"/>
  <c r="L15" i="9"/>
  <c r="C16" i="1" s="1"/>
  <c r="F16" i="1" s="1"/>
  <c r="Q19" i="9"/>
  <c r="N19" i="9" s="1"/>
  <c r="L19" i="9" s="1"/>
  <c r="C20" i="1" s="1"/>
  <c r="F20" i="1" s="1"/>
  <c r="Q10" i="9"/>
  <c r="N10" i="9" s="1"/>
  <c r="L10" i="9" s="1"/>
  <c r="C11" i="1" s="1"/>
  <c r="F11" i="1" s="1"/>
  <c r="L9" i="9"/>
  <c r="C10" i="1" s="1"/>
  <c r="F10" i="1" s="1"/>
  <c r="L13" i="9"/>
  <c r="C14" i="1" s="1"/>
  <c r="F14" i="1" s="1"/>
  <c r="Q6" i="9"/>
  <c r="N6" i="9" s="1"/>
  <c r="L6" i="9" s="1"/>
  <c r="C7" i="1" s="1"/>
  <c r="F7" i="1" s="1"/>
  <c r="Q21" i="9"/>
  <c r="N21" i="9" s="1"/>
  <c r="L21" i="9" s="1"/>
  <c r="C22" i="1" s="1"/>
  <c r="F22" i="1" s="1"/>
  <c r="Q14" i="9"/>
  <c r="N14" i="9" s="1"/>
  <c r="L14" i="9" s="1"/>
  <c r="C15" i="1" s="1"/>
  <c r="F15" i="1" s="1"/>
  <c r="Q13" i="9"/>
  <c r="N13" i="9" s="1"/>
  <c r="Q11" i="9"/>
  <c r="N11" i="9" s="1"/>
  <c r="L11" i="9" s="1"/>
  <c r="C12" i="1" s="1"/>
  <c r="F12" i="1" s="1"/>
  <c r="L3" i="1"/>
  <c r="FH19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R3" i="1"/>
  <c r="ER4" i="1"/>
  <c r="ER5" i="1"/>
  <c r="ER6" i="1"/>
  <c r="ER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J19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DT19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D19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N19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BX19" i="1"/>
  <c r="BX3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H19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R19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B19" i="1"/>
  <c r="T17" i="1"/>
  <c r="T18" i="1"/>
  <c r="T19" i="1"/>
  <c r="L19" i="1"/>
  <c r="L13" i="1"/>
  <c r="L14" i="1"/>
  <c r="T12" i="1"/>
  <c r="T13" i="1"/>
  <c r="T14" i="1"/>
  <c r="T10" i="1"/>
  <c r="T3" i="1"/>
  <c r="T4" i="1"/>
  <c r="T5" i="1"/>
  <c r="T6" i="1"/>
  <c r="T7" i="1"/>
  <c r="T8" i="1"/>
  <c r="FH20" i="1"/>
  <c r="FH4" i="1"/>
  <c r="FH5" i="1"/>
  <c r="FH6" i="1"/>
  <c r="FH7" i="1"/>
  <c r="FH8" i="1"/>
  <c r="FH9" i="1"/>
  <c r="FH10" i="1"/>
  <c r="FH11" i="1"/>
  <c r="FH12" i="1"/>
  <c r="FH13" i="1"/>
  <c r="FH14" i="1"/>
  <c r="FH15" i="1"/>
  <c r="FH16" i="1"/>
  <c r="FH17" i="1"/>
  <c r="FH18" i="1"/>
  <c r="FH21" i="1"/>
  <c r="FH22" i="1"/>
  <c r="FH23" i="1"/>
  <c r="FH24" i="1"/>
  <c r="FH25" i="1"/>
  <c r="FH26" i="1"/>
  <c r="FH3" i="1"/>
  <c r="EZ21" i="1"/>
  <c r="EZ22" i="1"/>
  <c r="EZ23" i="1"/>
  <c r="EZ24" i="1"/>
  <c r="EZ25" i="1"/>
  <c r="EZ26" i="1"/>
  <c r="ER21" i="1"/>
  <c r="ER22" i="1"/>
  <c r="ER23" i="1"/>
  <c r="ER24" i="1"/>
  <c r="ER25" i="1"/>
  <c r="ER26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20" i="1"/>
  <c r="EJ21" i="1"/>
  <c r="EJ22" i="1"/>
  <c r="EJ23" i="1"/>
  <c r="EJ24" i="1"/>
  <c r="EJ25" i="1"/>
  <c r="EJ26" i="1"/>
  <c r="EB21" i="1"/>
  <c r="EB22" i="1"/>
  <c r="EB23" i="1"/>
  <c r="EB24" i="1"/>
  <c r="EB25" i="1"/>
  <c r="EB26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20" i="1"/>
  <c r="DT21" i="1"/>
  <c r="DT22" i="1"/>
  <c r="DT23" i="1"/>
  <c r="DT24" i="1"/>
  <c r="DT25" i="1"/>
  <c r="DT26" i="1"/>
  <c r="EB20" i="1"/>
  <c r="EZ20" i="1"/>
  <c r="ER20" i="1"/>
  <c r="EJ3" i="1"/>
  <c r="DT3" i="1"/>
  <c r="DL21" i="1"/>
  <c r="DL22" i="1"/>
  <c r="DL23" i="1"/>
  <c r="DL24" i="1"/>
  <c r="DL25" i="1"/>
  <c r="DL26" i="1"/>
  <c r="DL20" i="1"/>
  <c r="DD21" i="1"/>
  <c r="DD22" i="1"/>
  <c r="DD23" i="1"/>
  <c r="DD24" i="1"/>
  <c r="DD25" i="1"/>
  <c r="DD26" i="1"/>
  <c r="DD20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3" i="1"/>
  <c r="CV21" i="1"/>
  <c r="CV22" i="1"/>
  <c r="CV23" i="1"/>
  <c r="CV24" i="1"/>
  <c r="CV25" i="1"/>
  <c r="CV26" i="1"/>
  <c r="CV20" i="1"/>
  <c r="CN21" i="1"/>
  <c r="CN22" i="1"/>
  <c r="CN23" i="1"/>
  <c r="CN24" i="1"/>
  <c r="CN25" i="1"/>
  <c r="CN26" i="1"/>
  <c r="CN20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3" i="1"/>
  <c r="CF21" i="1"/>
  <c r="CF22" i="1"/>
  <c r="CF23" i="1"/>
  <c r="CF24" i="1"/>
  <c r="CF25" i="1"/>
  <c r="CF26" i="1"/>
  <c r="CF20" i="1"/>
  <c r="BX21" i="1"/>
  <c r="BX22" i="1"/>
  <c r="BX23" i="1"/>
  <c r="BX24" i="1"/>
  <c r="BX25" i="1"/>
  <c r="BX26" i="1"/>
  <c r="BX20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P21" i="1"/>
  <c r="BP22" i="1"/>
  <c r="BP23" i="1"/>
  <c r="BP24" i="1"/>
  <c r="BP25" i="1"/>
  <c r="BP26" i="1"/>
  <c r="BP20" i="1"/>
  <c r="BH20" i="1"/>
  <c r="BH21" i="1"/>
  <c r="BH22" i="1"/>
  <c r="BH23" i="1"/>
  <c r="BH24" i="1"/>
  <c r="BH25" i="1"/>
  <c r="BH26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3" i="1"/>
  <c r="AZ21" i="1"/>
  <c r="AZ22" i="1"/>
  <c r="AZ23" i="1"/>
  <c r="AZ24" i="1"/>
  <c r="AZ25" i="1"/>
  <c r="AZ26" i="1"/>
  <c r="AZ20" i="1"/>
  <c r="AR20" i="1"/>
  <c r="AR21" i="1"/>
  <c r="AR22" i="1"/>
  <c r="AR23" i="1"/>
  <c r="AR24" i="1"/>
  <c r="AR25" i="1"/>
  <c r="AR26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3" i="1"/>
  <c r="AJ21" i="1"/>
  <c r="AJ22" i="1"/>
  <c r="AJ23" i="1"/>
  <c r="AJ24" i="1"/>
  <c r="AJ25" i="1"/>
  <c r="AJ26" i="1"/>
  <c r="AJ20" i="1"/>
  <c r="AB21" i="1"/>
  <c r="AB22" i="1"/>
  <c r="AB23" i="1"/>
  <c r="AB24" i="1"/>
  <c r="AB25" i="1"/>
  <c r="AB26" i="1"/>
  <c r="AB20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3" i="1"/>
  <c r="T21" i="1"/>
  <c r="T22" i="1"/>
  <c r="T23" i="1"/>
  <c r="T24" i="1"/>
  <c r="T25" i="1"/>
  <c r="T26" i="1"/>
  <c r="T20" i="1"/>
  <c r="T16" i="1"/>
  <c r="T15" i="1"/>
  <c r="T11" i="1"/>
  <c r="T9" i="1"/>
  <c r="L21" i="1"/>
  <c r="L22" i="1"/>
  <c r="L23" i="1"/>
  <c r="L24" i="1"/>
  <c r="L25" i="1"/>
  <c r="L26" i="1"/>
  <c r="L20" i="1"/>
  <c r="L18" i="1"/>
  <c r="L17" i="1"/>
  <c r="L16" i="1"/>
  <c r="L15" i="1"/>
  <c r="L4" i="1"/>
  <c r="L5" i="1"/>
  <c r="L6" i="1"/>
  <c r="L7" i="1"/>
  <c r="L8" i="1"/>
  <c r="L9" i="1"/>
  <c r="L10" i="1"/>
  <c r="L11" i="1"/>
  <c r="L12" i="1"/>
  <c r="W5" i="12" l="1"/>
  <c r="FM21" i="1"/>
  <c r="U22" i="12" s="1"/>
  <c r="FE21" i="1"/>
  <c r="T22" i="12" s="1"/>
  <c r="DI21" i="1"/>
  <c r="N22" i="12" s="1"/>
  <c r="CK21" i="1"/>
  <c r="K22" i="12" s="1"/>
  <c r="Y21" i="1"/>
  <c r="C22" i="12" s="1"/>
  <c r="EO21" i="1"/>
  <c r="R22" i="12" s="1"/>
  <c r="AG21" i="1"/>
  <c r="D22" i="12" s="1"/>
  <c r="BM21" i="1"/>
  <c r="H22" i="12" s="1"/>
  <c r="AO21" i="1"/>
  <c r="E22" i="12" s="1"/>
  <c r="EG21" i="1"/>
  <c r="Q22" i="12" s="1"/>
  <c r="CC21" i="1"/>
  <c r="J22" i="12" s="1"/>
  <c r="BE21" i="1"/>
  <c r="G22" i="12" s="1"/>
  <c r="AW21" i="1"/>
  <c r="F22" i="12" s="1"/>
  <c r="EW21" i="1"/>
  <c r="S22" i="12" s="1"/>
  <c r="DY21" i="1"/>
  <c r="P22" i="12" s="1"/>
  <c r="DA21" i="1"/>
  <c r="M22" i="12" s="1"/>
  <c r="CS21" i="1"/>
  <c r="L22" i="12" s="1"/>
  <c r="DQ21" i="1"/>
  <c r="O22" i="12" s="1"/>
  <c r="BU21" i="1"/>
  <c r="I22" i="12" s="1"/>
  <c r="Q21" i="1"/>
  <c r="B22" i="12" s="1"/>
  <c r="FE8" i="1"/>
  <c r="T9" i="12" s="1"/>
  <c r="FM8" i="1"/>
  <c r="U9" i="12" s="1"/>
  <c r="EW8" i="1"/>
  <c r="S9" i="12" s="1"/>
  <c r="DI8" i="1"/>
  <c r="N9" i="12" s="1"/>
  <c r="AW8" i="1"/>
  <c r="F9" i="12" s="1"/>
  <c r="Y8" i="1"/>
  <c r="C9" i="12" s="1"/>
  <c r="DY8" i="1"/>
  <c r="P9" i="12" s="1"/>
  <c r="DA8" i="1"/>
  <c r="M9" i="12" s="1"/>
  <c r="CC8" i="1"/>
  <c r="J9" i="12" s="1"/>
  <c r="BE8" i="1"/>
  <c r="G9" i="12" s="1"/>
  <c r="AG8" i="1"/>
  <c r="D9" i="12" s="1"/>
  <c r="Q8" i="1"/>
  <c r="B9" i="12" s="1"/>
  <c r="EG8" i="1"/>
  <c r="Q9" i="12" s="1"/>
  <c r="CS8" i="1"/>
  <c r="L9" i="12" s="1"/>
  <c r="CK8" i="1"/>
  <c r="K9" i="12" s="1"/>
  <c r="BU8" i="1"/>
  <c r="I9" i="12" s="1"/>
  <c r="EO8" i="1"/>
  <c r="R9" i="12" s="1"/>
  <c r="BM8" i="1"/>
  <c r="H9" i="12" s="1"/>
  <c r="AO8" i="1"/>
  <c r="E9" i="12" s="1"/>
  <c r="DQ8" i="1"/>
  <c r="O9" i="12" s="1"/>
  <c r="FM16" i="1"/>
  <c r="U17" i="12" s="1"/>
  <c r="FE16" i="1"/>
  <c r="T17" i="12" s="1"/>
  <c r="EW16" i="1"/>
  <c r="S17" i="12" s="1"/>
  <c r="EG16" i="1"/>
  <c r="Q17" i="12" s="1"/>
  <c r="DY16" i="1"/>
  <c r="P17" i="12" s="1"/>
  <c r="DI16" i="1"/>
  <c r="N17" i="12" s="1"/>
  <c r="CS16" i="1"/>
  <c r="L17" i="12" s="1"/>
  <c r="BU16" i="1"/>
  <c r="I17" i="12" s="1"/>
  <c r="AW16" i="1"/>
  <c r="F17" i="12" s="1"/>
  <c r="AO16" i="1"/>
  <c r="E17" i="12" s="1"/>
  <c r="Q16" i="1"/>
  <c r="B17" i="12" s="1"/>
  <c r="DQ16" i="1"/>
  <c r="O17" i="12" s="1"/>
  <c r="DA16" i="1"/>
  <c r="M17" i="12" s="1"/>
  <c r="BM16" i="1"/>
  <c r="H17" i="12" s="1"/>
  <c r="AG16" i="1"/>
  <c r="D17" i="12" s="1"/>
  <c r="CC16" i="1"/>
  <c r="J17" i="12" s="1"/>
  <c r="EO16" i="1"/>
  <c r="R17" i="12" s="1"/>
  <c r="CK16" i="1"/>
  <c r="K17" i="12" s="1"/>
  <c r="BE16" i="1"/>
  <c r="G17" i="12" s="1"/>
  <c r="Y16" i="1"/>
  <c r="C17" i="12" s="1"/>
  <c r="FM23" i="1"/>
  <c r="U24" i="12" s="1"/>
  <c r="FE23" i="1"/>
  <c r="T24" i="12" s="1"/>
  <c r="EO23" i="1"/>
  <c r="R24" i="12" s="1"/>
  <c r="AW23" i="1"/>
  <c r="F24" i="12" s="1"/>
  <c r="CC23" i="1"/>
  <c r="J24" i="12" s="1"/>
  <c r="Q23" i="1"/>
  <c r="B24" i="12" s="1"/>
  <c r="EW23" i="1"/>
  <c r="S24" i="12" s="1"/>
  <c r="DI23" i="1"/>
  <c r="N24" i="12" s="1"/>
  <c r="DQ23" i="1"/>
  <c r="O24" i="12" s="1"/>
  <c r="CS23" i="1"/>
  <c r="L24" i="12" s="1"/>
  <c r="BU23" i="1"/>
  <c r="I24" i="12" s="1"/>
  <c r="BM23" i="1"/>
  <c r="H24" i="12" s="1"/>
  <c r="AG23" i="1"/>
  <c r="D24" i="12" s="1"/>
  <c r="DY23" i="1"/>
  <c r="P24" i="12" s="1"/>
  <c r="DA23" i="1"/>
  <c r="M24" i="12" s="1"/>
  <c r="BE23" i="1"/>
  <c r="G24" i="12" s="1"/>
  <c r="Y23" i="1"/>
  <c r="C24" i="12" s="1"/>
  <c r="EG23" i="1"/>
  <c r="Q24" i="12" s="1"/>
  <c r="CK23" i="1"/>
  <c r="K24" i="12" s="1"/>
  <c r="AO23" i="1"/>
  <c r="E24" i="12" s="1"/>
  <c r="FM13" i="1"/>
  <c r="U14" i="12" s="1"/>
  <c r="FE13" i="1"/>
  <c r="T14" i="12" s="1"/>
  <c r="DY13" i="1"/>
  <c r="P14" i="12" s="1"/>
  <c r="CS13" i="1"/>
  <c r="L14" i="12" s="1"/>
  <c r="BM13" i="1"/>
  <c r="H14" i="12" s="1"/>
  <c r="Y13" i="1"/>
  <c r="C14" i="12" s="1"/>
  <c r="DI13" i="1"/>
  <c r="N14" i="12" s="1"/>
  <c r="DA13" i="1"/>
  <c r="M14" i="12" s="1"/>
  <c r="CK13" i="1"/>
  <c r="K14" i="12" s="1"/>
  <c r="EW13" i="1"/>
  <c r="S14" i="12" s="1"/>
  <c r="EG13" i="1"/>
  <c r="Q14" i="12" s="1"/>
  <c r="DQ13" i="1"/>
  <c r="O14" i="12" s="1"/>
  <c r="BU13" i="1"/>
  <c r="I14" i="12" s="1"/>
  <c r="BE13" i="1"/>
  <c r="G14" i="12" s="1"/>
  <c r="AW13" i="1"/>
  <c r="F14" i="12" s="1"/>
  <c r="AO13" i="1"/>
  <c r="E14" i="12" s="1"/>
  <c r="EO13" i="1"/>
  <c r="R14" i="12" s="1"/>
  <c r="AG13" i="1"/>
  <c r="D14" i="12" s="1"/>
  <c r="CC13" i="1"/>
  <c r="J14" i="12" s="1"/>
  <c r="Q13" i="1"/>
  <c r="B14" i="12" s="1"/>
  <c r="W26" i="12"/>
  <c r="FM14" i="1"/>
  <c r="U15" i="12" s="1"/>
  <c r="FE14" i="1"/>
  <c r="T15" i="12" s="1"/>
  <c r="EG14" i="1"/>
  <c r="Q15" i="12" s="1"/>
  <c r="DQ14" i="1"/>
  <c r="O15" i="12" s="1"/>
  <c r="CS14" i="1"/>
  <c r="L15" i="12" s="1"/>
  <c r="BE14" i="1"/>
  <c r="G15" i="12" s="1"/>
  <c r="AW14" i="1"/>
  <c r="F15" i="12" s="1"/>
  <c r="AO14" i="1"/>
  <c r="E15" i="12" s="1"/>
  <c r="AG14" i="1"/>
  <c r="D15" i="12" s="1"/>
  <c r="DY14" i="1"/>
  <c r="P15" i="12" s="1"/>
  <c r="DI14" i="1"/>
  <c r="N15" i="12" s="1"/>
  <c r="CC14" i="1"/>
  <c r="J15" i="12" s="1"/>
  <c r="BM14" i="1"/>
  <c r="H15" i="12" s="1"/>
  <c r="Y14" i="1"/>
  <c r="C15" i="12" s="1"/>
  <c r="Q14" i="1"/>
  <c r="B15" i="12" s="1"/>
  <c r="DA14" i="1"/>
  <c r="M15" i="12" s="1"/>
  <c r="BU14" i="1"/>
  <c r="I15" i="12" s="1"/>
  <c r="EO14" i="1"/>
  <c r="R15" i="12" s="1"/>
  <c r="EW14" i="1"/>
  <c r="S15" i="12" s="1"/>
  <c r="CK14" i="1"/>
  <c r="K15" i="12" s="1"/>
  <c r="FE24" i="1"/>
  <c r="T25" i="12" s="1"/>
  <c r="FM24" i="1"/>
  <c r="U25" i="12" s="1"/>
  <c r="AW24" i="1"/>
  <c r="F25" i="12" s="1"/>
  <c r="AO24" i="1"/>
  <c r="E25" i="12" s="1"/>
  <c r="Q24" i="1"/>
  <c r="B25" i="12" s="1"/>
  <c r="EG24" i="1"/>
  <c r="Q25" i="12" s="1"/>
  <c r="CK24" i="1"/>
  <c r="K25" i="12" s="1"/>
  <c r="BM24" i="1"/>
  <c r="H25" i="12" s="1"/>
  <c r="EO24" i="1"/>
  <c r="R25" i="12" s="1"/>
  <c r="CS24" i="1"/>
  <c r="L25" i="12" s="1"/>
  <c r="BE24" i="1"/>
  <c r="G25" i="12" s="1"/>
  <c r="AG24" i="1"/>
  <c r="D25" i="12" s="1"/>
  <c r="CC24" i="1"/>
  <c r="J25" i="12" s="1"/>
  <c r="Y24" i="1"/>
  <c r="C25" i="12" s="1"/>
  <c r="DI24" i="1"/>
  <c r="N25" i="12" s="1"/>
  <c r="BU24" i="1"/>
  <c r="I25" i="12" s="1"/>
  <c r="DQ24" i="1"/>
  <c r="O25" i="12" s="1"/>
  <c r="EW24" i="1"/>
  <c r="S25" i="12" s="1"/>
  <c r="DY24" i="1"/>
  <c r="P25" i="12" s="1"/>
  <c r="DA24" i="1"/>
  <c r="M25" i="12" s="1"/>
  <c r="FM10" i="1"/>
  <c r="U11" i="12" s="1"/>
  <c r="FE10" i="1"/>
  <c r="T11" i="12" s="1"/>
  <c r="EO10" i="1"/>
  <c r="R11" i="12" s="1"/>
  <c r="DY10" i="1"/>
  <c r="P11" i="12" s="1"/>
  <c r="DA10" i="1"/>
  <c r="M11" i="12" s="1"/>
  <c r="CK10" i="1"/>
  <c r="K11" i="12" s="1"/>
  <c r="BU10" i="1"/>
  <c r="I11" i="12" s="1"/>
  <c r="AO10" i="1"/>
  <c r="E11" i="12" s="1"/>
  <c r="AG10" i="1"/>
  <c r="D11" i="12" s="1"/>
  <c r="DI10" i="1"/>
  <c r="N11" i="12" s="1"/>
  <c r="CS10" i="1"/>
  <c r="L11" i="12" s="1"/>
  <c r="CC10" i="1"/>
  <c r="J11" i="12" s="1"/>
  <c r="AW10" i="1"/>
  <c r="F11" i="12" s="1"/>
  <c r="EG10" i="1"/>
  <c r="Q11" i="12" s="1"/>
  <c r="DQ10" i="1"/>
  <c r="O11" i="12" s="1"/>
  <c r="Y10" i="1"/>
  <c r="C11" i="12" s="1"/>
  <c r="BE10" i="1"/>
  <c r="G11" i="12" s="1"/>
  <c r="EW10" i="1"/>
  <c r="S11" i="12" s="1"/>
  <c r="BM10" i="1"/>
  <c r="H11" i="12" s="1"/>
  <c r="Q10" i="1"/>
  <c r="B11" i="12" s="1"/>
  <c r="W27" i="12"/>
  <c r="FE12" i="1"/>
  <c r="T13" i="12" s="1"/>
  <c r="FM12" i="1"/>
  <c r="U13" i="12" s="1"/>
  <c r="EO12" i="1"/>
  <c r="R13" i="12" s="1"/>
  <c r="DY12" i="1"/>
  <c r="P13" i="12" s="1"/>
  <c r="DI12" i="1"/>
  <c r="N13" i="12" s="1"/>
  <c r="DA12" i="1"/>
  <c r="M13" i="12" s="1"/>
  <c r="CK12" i="1"/>
  <c r="K13" i="12" s="1"/>
  <c r="BM12" i="1"/>
  <c r="H13" i="12" s="1"/>
  <c r="AG12" i="1"/>
  <c r="D13" i="12" s="1"/>
  <c r="EG12" i="1"/>
  <c r="Q13" i="12" s="1"/>
  <c r="CS12" i="1"/>
  <c r="L13" i="12" s="1"/>
  <c r="CC12" i="1"/>
  <c r="J13" i="12" s="1"/>
  <c r="BE12" i="1"/>
  <c r="G13" i="12" s="1"/>
  <c r="AO12" i="1"/>
  <c r="E13" i="12" s="1"/>
  <c r="EW12" i="1"/>
  <c r="S13" i="12" s="1"/>
  <c r="DQ12" i="1"/>
  <c r="O13" i="12" s="1"/>
  <c r="BU12" i="1"/>
  <c r="I13" i="12" s="1"/>
  <c r="Y12" i="1"/>
  <c r="C13" i="12" s="1"/>
  <c r="Q12" i="1"/>
  <c r="B13" i="12" s="1"/>
  <c r="AW12" i="1"/>
  <c r="F13" i="12" s="1"/>
  <c r="FM22" i="1"/>
  <c r="U23" i="12" s="1"/>
  <c r="FE22" i="1"/>
  <c r="T23" i="12" s="1"/>
  <c r="EG22" i="1"/>
  <c r="Q23" i="12" s="1"/>
  <c r="DQ22" i="1"/>
  <c r="O23" i="12" s="1"/>
  <c r="CS22" i="1"/>
  <c r="L23" i="12" s="1"/>
  <c r="AG22" i="1"/>
  <c r="D23" i="12" s="1"/>
  <c r="Q22" i="1"/>
  <c r="B23" i="12" s="1"/>
  <c r="EW22" i="1"/>
  <c r="S23" i="12" s="1"/>
  <c r="CK22" i="1"/>
  <c r="K23" i="12" s="1"/>
  <c r="BM22" i="1"/>
  <c r="H23" i="12" s="1"/>
  <c r="BE22" i="1"/>
  <c r="G23" i="12" s="1"/>
  <c r="AW22" i="1"/>
  <c r="F23" i="12" s="1"/>
  <c r="DY22" i="1"/>
  <c r="P23" i="12" s="1"/>
  <c r="BU22" i="1"/>
  <c r="I23" i="12" s="1"/>
  <c r="AO22" i="1"/>
  <c r="E23" i="12" s="1"/>
  <c r="CC22" i="1"/>
  <c r="J23" i="12" s="1"/>
  <c r="EO22" i="1"/>
  <c r="R23" i="12" s="1"/>
  <c r="Y22" i="1"/>
  <c r="C23" i="12" s="1"/>
  <c r="DI22" i="1"/>
  <c r="N23" i="12" s="1"/>
  <c r="DA22" i="1"/>
  <c r="M23" i="12" s="1"/>
  <c r="FM11" i="1"/>
  <c r="U12" i="12" s="1"/>
  <c r="FE11" i="1"/>
  <c r="T12" i="12" s="1"/>
  <c r="EW11" i="1"/>
  <c r="S12" i="12" s="1"/>
  <c r="EO11" i="1"/>
  <c r="R12" i="12" s="1"/>
  <c r="DQ11" i="1"/>
  <c r="O12" i="12" s="1"/>
  <c r="DI11" i="1"/>
  <c r="N12" i="12" s="1"/>
  <c r="DA11" i="1"/>
  <c r="M12" i="12" s="1"/>
  <c r="BU11" i="1"/>
  <c r="I12" i="12" s="1"/>
  <c r="BM11" i="1"/>
  <c r="H12" i="12" s="1"/>
  <c r="BE11" i="1"/>
  <c r="G12" i="12" s="1"/>
  <c r="AO11" i="1"/>
  <c r="E12" i="12" s="1"/>
  <c r="CK11" i="1"/>
  <c r="K12" i="12" s="1"/>
  <c r="AW11" i="1"/>
  <c r="F12" i="12" s="1"/>
  <c r="CC11" i="1"/>
  <c r="J12" i="12" s="1"/>
  <c r="DY11" i="1"/>
  <c r="P12" i="12" s="1"/>
  <c r="Q11" i="1"/>
  <c r="B12" i="12" s="1"/>
  <c r="EG11" i="1"/>
  <c r="Q12" i="12" s="1"/>
  <c r="Y11" i="1"/>
  <c r="C12" i="12" s="1"/>
  <c r="CS11" i="1"/>
  <c r="L12" i="12" s="1"/>
  <c r="AG11" i="1"/>
  <c r="D12" i="12" s="1"/>
  <c r="FM19" i="1"/>
  <c r="U20" i="12" s="1"/>
  <c r="FE19" i="1"/>
  <c r="T20" i="12" s="1"/>
  <c r="DI19" i="1"/>
  <c r="N20" i="12" s="1"/>
  <c r="DA19" i="1"/>
  <c r="M20" i="12" s="1"/>
  <c r="Q19" i="1"/>
  <c r="B20" i="12" s="1"/>
  <c r="BM19" i="1"/>
  <c r="H20" i="12" s="1"/>
  <c r="Y19" i="1"/>
  <c r="C20" i="12" s="1"/>
  <c r="CC19" i="1"/>
  <c r="J20" i="12" s="1"/>
  <c r="EW19" i="1"/>
  <c r="S20" i="12" s="1"/>
  <c r="EO19" i="1"/>
  <c r="R20" i="12" s="1"/>
  <c r="BU19" i="1"/>
  <c r="I20" i="12" s="1"/>
  <c r="AO19" i="1"/>
  <c r="E20" i="12" s="1"/>
  <c r="DY19" i="1"/>
  <c r="P20" i="12" s="1"/>
  <c r="AW19" i="1"/>
  <c r="F20" i="12" s="1"/>
  <c r="DQ19" i="1"/>
  <c r="O20" i="12" s="1"/>
  <c r="CS19" i="1"/>
  <c r="L20" i="12" s="1"/>
  <c r="CK19" i="1"/>
  <c r="K20" i="12" s="1"/>
  <c r="BE19" i="1"/>
  <c r="G20" i="12" s="1"/>
  <c r="AG19" i="1"/>
  <c r="D20" i="12" s="1"/>
  <c r="EG19" i="1"/>
  <c r="Q20" i="12" s="1"/>
  <c r="FM9" i="1"/>
  <c r="U10" i="12" s="1"/>
  <c r="FE9" i="1"/>
  <c r="T10" i="12" s="1"/>
  <c r="EG9" i="1"/>
  <c r="Q10" i="12" s="1"/>
  <c r="DA9" i="1"/>
  <c r="M10" i="12" s="1"/>
  <c r="CK9" i="1"/>
  <c r="K10" i="12" s="1"/>
  <c r="CC9" i="1"/>
  <c r="J10" i="12" s="1"/>
  <c r="BE9" i="1"/>
  <c r="G10" i="12" s="1"/>
  <c r="AW9" i="1"/>
  <c r="F10" i="12" s="1"/>
  <c r="AG9" i="1"/>
  <c r="D10" i="12" s="1"/>
  <c r="Q9" i="1"/>
  <c r="B10" i="12" s="1"/>
  <c r="DY9" i="1"/>
  <c r="P10" i="12" s="1"/>
  <c r="EW9" i="1"/>
  <c r="S10" i="12" s="1"/>
  <c r="Y9" i="1"/>
  <c r="C10" i="12" s="1"/>
  <c r="EO9" i="1"/>
  <c r="R10" i="12" s="1"/>
  <c r="DQ9" i="1"/>
  <c r="O10" i="12" s="1"/>
  <c r="DI9" i="1"/>
  <c r="N10" i="12" s="1"/>
  <c r="CS9" i="1"/>
  <c r="L10" i="12" s="1"/>
  <c r="BU9" i="1"/>
  <c r="I10" i="12" s="1"/>
  <c r="BM9" i="1"/>
  <c r="H10" i="12" s="1"/>
  <c r="AO9" i="1"/>
  <c r="E10" i="12" s="1"/>
  <c r="W6" i="12"/>
  <c r="FM15" i="1"/>
  <c r="U16" i="12" s="1"/>
  <c r="FE15" i="1"/>
  <c r="T16" i="12" s="1"/>
  <c r="CC15" i="1"/>
  <c r="J16" i="12" s="1"/>
  <c r="DY15" i="1"/>
  <c r="P16" i="12" s="1"/>
  <c r="AG15" i="1"/>
  <c r="D16" i="12" s="1"/>
  <c r="EW15" i="1"/>
  <c r="S16" i="12" s="1"/>
  <c r="DI15" i="1"/>
  <c r="N16" i="12" s="1"/>
  <c r="DQ15" i="1"/>
  <c r="O16" i="12" s="1"/>
  <c r="Q15" i="1"/>
  <c r="B16" i="12" s="1"/>
  <c r="AO15" i="1"/>
  <c r="E16" i="12" s="1"/>
  <c r="Y15" i="1"/>
  <c r="C16" i="12" s="1"/>
  <c r="EO15" i="1"/>
  <c r="R16" i="12" s="1"/>
  <c r="DA15" i="1"/>
  <c r="M16" i="12" s="1"/>
  <c r="CK15" i="1"/>
  <c r="K16" i="12" s="1"/>
  <c r="BU15" i="1"/>
  <c r="I16" i="12" s="1"/>
  <c r="AW15" i="1"/>
  <c r="F16" i="12" s="1"/>
  <c r="CS15" i="1"/>
  <c r="L16" i="12" s="1"/>
  <c r="BE15" i="1"/>
  <c r="G16" i="12" s="1"/>
  <c r="EG15" i="1"/>
  <c r="Q16" i="12" s="1"/>
  <c r="BM15" i="1"/>
  <c r="H16" i="12" s="1"/>
  <c r="FM6" i="1"/>
  <c r="U7" i="12" s="1"/>
  <c r="FE6" i="1"/>
  <c r="T7" i="12" s="1"/>
  <c r="Y6" i="1"/>
  <c r="C7" i="12" s="1"/>
  <c r="EW6" i="1"/>
  <c r="S7" i="12" s="1"/>
  <c r="EO6" i="1"/>
  <c r="R7" i="12" s="1"/>
  <c r="EG6" i="1"/>
  <c r="Q7" i="12" s="1"/>
  <c r="DI6" i="1"/>
  <c r="N7" i="12" s="1"/>
  <c r="CS6" i="1"/>
  <c r="L7" i="12" s="1"/>
  <c r="CK6" i="1"/>
  <c r="K7" i="12" s="1"/>
  <c r="AO6" i="1"/>
  <c r="E7" i="12" s="1"/>
  <c r="DQ6" i="1"/>
  <c r="O7" i="12" s="1"/>
  <c r="CC6" i="1"/>
  <c r="J7" i="12" s="1"/>
  <c r="BM6" i="1"/>
  <c r="H7" i="12" s="1"/>
  <c r="BE6" i="1"/>
  <c r="G7" i="12" s="1"/>
  <c r="DA6" i="1"/>
  <c r="M7" i="12" s="1"/>
  <c r="BU6" i="1"/>
  <c r="I7" i="12" s="1"/>
  <c r="AG6" i="1"/>
  <c r="D7" i="12" s="1"/>
  <c r="Q6" i="1"/>
  <c r="B7" i="12" s="1"/>
  <c r="DY6" i="1"/>
  <c r="P7" i="12" s="1"/>
  <c r="AW6" i="1"/>
  <c r="F7" i="12" s="1"/>
  <c r="FM18" i="1"/>
  <c r="U19" i="12" s="1"/>
  <c r="FE18" i="1"/>
  <c r="T19" i="12" s="1"/>
  <c r="EW18" i="1"/>
  <c r="S19" i="12" s="1"/>
  <c r="CS18" i="1"/>
  <c r="L19" i="12" s="1"/>
  <c r="CK18" i="1"/>
  <c r="K19" i="12" s="1"/>
  <c r="CC18" i="1"/>
  <c r="J19" i="12" s="1"/>
  <c r="BU18" i="1"/>
  <c r="I19" i="12" s="1"/>
  <c r="BE18" i="1"/>
  <c r="G19" i="12" s="1"/>
  <c r="AW18" i="1"/>
  <c r="F19" i="12" s="1"/>
  <c r="DQ18" i="1"/>
  <c r="O19" i="12" s="1"/>
  <c r="DI18" i="1"/>
  <c r="N19" i="12" s="1"/>
  <c r="BM18" i="1"/>
  <c r="H19" i="12" s="1"/>
  <c r="Q18" i="1"/>
  <c r="B19" i="12" s="1"/>
  <c r="EO18" i="1"/>
  <c r="R19" i="12" s="1"/>
  <c r="EG18" i="1"/>
  <c r="Q19" i="12" s="1"/>
  <c r="DY18" i="1"/>
  <c r="P19" i="12" s="1"/>
  <c r="AO18" i="1"/>
  <c r="E19" i="12" s="1"/>
  <c r="AG18" i="1"/>
  <c r="D19" i="12" s="1"/>
  <c r="DA18" i="1"/>
  <c r="M19" i="12" s="1"/>
  <c r="Y18" i="1"/>
  <c r="C19" i="12" s="1"/>
  <c r="FM7" i="1"/>
  <c r="U8" i="12" s="1"/>
  <c r="FE7" i="1"/>
  <c r="T8" i="12" s="1"/>
  <c r="CC7" i="1"/>
  <c r="J8" i="12" s="1"/>
  <c r="EG7" i="1"/>
  <c r="Q8" i="12" s="1"/>
  <c r="Q7" i="1"/>
  <c r="B8" i="12" s="1"/>
  <c r="EO7" i="1"/>
  <c r="R8" i="12" s="1"/>
  <c r="DA7" i="1"/>
  <c r="M8" i="12" s="1"/>
  <c r="BU7" i="1"/>
  <c r="I8" i="12" s="1"/>
  <c r="AG7" i="1"/>
  <c r="D8" i="12" s="1"/>
  <c r="EW7" i="1"/>
  <c r="S8" i="12" s="1"/>
  <c r="CS7" i="1"/>
  <c r="L8" i="12" s="1"/>
  <c r="CK7" i="1"/>
  <c r="K8" i="12" s="1"/>
  <c r="BM7" i="1"/>
  <c r="H8" i="12" s="1"/>
  <c r="AO7" i="1"/>
  <c r="E8" i="12" s="1"/>
  <c r="BE7" i="1"/>
  <c r="G8" i="12" s="1"/>
  <c r="Y7" i="1"/>
  <c r="C8" i="12" s="1"/>
  <c r="DI7" i="1"/>
  <c r="N8" i="12" s="1"/>
  <c r="DY7" i="1"/>
  <c r="P8" i="12" s="1"/>
  <c r="AW7" i="1"/>
  <c r="F8" i="12" s="1"/>
  <c r="DQ7" i="1"/>
  <c r="O8" i="12" s="1"/>
  <c r="FM20" i="1"/>
  <c r="U21" i="12" s="1"/>
  <c r="FE20" i="1"/>
  <c r="T21" i="12" s="1"/>
  <c r="EW20" i="1"/>
  <c r="S21" i="12" s="1"/>
  <c r="Q20" i="1"/>
  <c r="B21" i="12" s="1"/>
  <c r="DI20" i="1"/>
  <c r="N21" i="12" s="1"/>
  <c r="CC20" i="1"/>
  <c r="J21" i="12" s="1"/>
  <c r="BU20" i="1"/>
  <c r="I21" i="12" s="1"/>
  <c r="BM20" i="1"/>
  <c r="H21" i="12" s="1"/>
  <c r="AG20" i="1"/>
  <c r="D21" i="12" s="1"/>
  <c r="EO20" i="1"/>
  <c r="R21" i="12" s="1"/>
  <c r="EG20" i="1"/>
  <c r="Q21" i="12" s="1"/>
  <c r="DQ20" i="1"/>
  <c r="O21" i="12" s="1"/>
  <c r="DA20" i="1"/>
  <c r="M21" i="12" s="1"/>
  <c r="DY20" i="1"/>
  <c r="P21" i="12" s="1"/>
  <c r="CK20" i="1"/>
  <c r="K21" i="12" s="1"/>
  <c r="BE20" i="1"/>
  <c r="G21" i="12" s="1"/>
  <c r="AW20" i="1"/>
  <c r="F21" i="12" s="1"/>
  <c r="Y20" i="1"/>
  <c r="C21" i="12" s="1"/>
  <c r="CS20" i="1"/>
  <c r="L21" i="12" s="1"/>
  <c r="AO20" i="1"/>
  <c r="E21" i="12" s="1"/>
  <c r="FM17" i="1"/>
  <c r="U18" i="12" s="1"/>
  <c r="FE17" i="1"/>
  <c r="T18" i="12" s="1"/>
  <c r="EG17" i="1"/>
  <c r="Q18" i="12" s="1"/>
  <c r="CK17" i="1"/>
  <c r="K18" i="12" s="1"/>
  <c r="CC17" i="1"/>
  <c r="J18" i="12" s="1"/>
  <c r="AW17" i="1"/>
  <c r="F18" i="12" s="1"/>
  <c r="DY17" i="1"/>
  <c r="P18" i="12" s="1"/>
  <c r="DQ17" i="1"/>
  <c r="O18" i="12" s="1"/>
  <c r="BM17" i="1"/>
  <c r="H18" i="12" s="1"/>
  <c r="BE17" i="1"/>
  <c r="G18" i="12" s="1"/>
  <c r="AG17" i="1"/>
  <c r="D18" i="12" s="1"/>
  <c r="EW17" i="1"/>
  <c r="S18" i="12" s="1"/>
  <c r="DI17" i="1"/>
  <c r="N18" i="12" s="1"/>
  <c r="CS17" i="1"/>
  <c r="L18" i="12" s="1"/>
  <c r="Y17" i="1"/>
  <c r="C18" i="12" s="1"/>
  <c r="DA17" i="1"/>
  <c r="M18" i="12" s="1"/>
  <c r="Q17" i="1"/>
  <c r="B18" i="12" s="1"/>
  <c r="AO17" i="1"/>
  <c r="E18" i="12" s="1"/>
  <c r="EO17" i="1"/>
  <c r="R18" i="12" s="1"/>
  <c r="BU17" i="1"/>
  <c r="I18" i="12" s="1"/>
  <c r="BL5" i="1"/>
  <c r="AF13" i="1"/>
  <c r="EV21" i="1"/>
  <c r="FD7" i="1"/>
  <c r="DP11" i="1"/>
  <c r="BL11" i="1"/>
  <c r="CR11" i="1"/>
  <c r="CJ11" i="1"/>
  <c r="AF11" i="1"/>
  <c r="BL15" i="1"/>
  <c r="BT19" i="1"/>
  <c r="DX23" i="1"/>
  <c r="EV9" i="1"/>
  <c r="AF9" i="1"/>
  <c r="DH9" i="1"/>
  <c r="AV9" i="1"/>
  <c r="CR9" i="1"/>
  <c r="DX9" i="1"/>
  <c r="EN25" i="1"/>
  <c r="AV25" i="1"/>
  <c r="BL25" i="1"/>
  <c r="CB25" i="1"/>
  <c r="X4" i="1"/>
  <c r="CR4" i="1"/>
  <c r="EV4" i="1"/>
  <c r="DP4" i="1"/>
  <c r="DX4" i="1"/>
  <c r="AV4" i="1"/>
  <c r="CB8" i="1"/>
  <c r="X12" i="1"/>
  <c r="AV12" i="1"/>
  <c r="AN12" i="1"/>
  <c r="CZ16" i="1"/>
  <c r="DP16" i="1"/>
  <c r="P16" i="1"/>
  <c r="EF16" i="1"/>
  <c r="EV16" i="1"/>
  <c r="X16" i="1"/>
  <c r="DX20" i="1"/>
  <c r="BT20" i="1"/>
  <c r="DH20" i="1"/>
  <c r="X20" i="1"/>
  <c r="CB20" i="1"/>
  <c r="EN20" i="1"/>
  <c r="BL20" i="1"/>
  <c r="AF20" i="1"/>
  <c r="CJ20" i="1"/>
  <c r="BD24" i="1"/>
  <c r="BL24" i="1"/>
  <c r="P24" i="1"/>
  <c r="CR24" i="1"/>
  <c r="EF24" i="1"/>
  <c r="BT24" i="1"/>
  <c r="AV6" i="1"/>
  <c r="EV10" i="1"/>
  <c r="FD10" i="1"/>
  <c r="CB10" i="1"/>
  <c r="BD14" i="1"/>
  <c r="EN14" i="1"/>
  <c r="CJ14" i="1"/>
  <c r="CZ14" i="1"/>
  <c r="FD14" i="1"/>
  <c r="BL14" i="1"/>
  <c r="DX14" i="1"/>
  <c r="CR14" i="1"/>
  <c r="AV14" i="1"/>
  <c r="FL14" i="1"/>
  <c r="X18" i="1"/>
  <c r="CR22" i="1"/>
  <c r="F3" i="1"/>
  <c r="DX26" i="1"/>
  <c r="W18" i="12" l="1"/>
  <c r="W8" i="12"/>
  <c r="W19" i="12"/>
  <c r="W16" i="12"/>
  <c r="W10" i="12"/>
  <c r="W15" i="12"/>
  <c r="W14" i="12"/>
  <c r="W9" i="12"/>
  <c r="W22" i="12"/>
  <c r="W21" i="12"/>
  <c r="W20" i="12"/>
  <c r="W17" i="12"/>
  <c r="W12" i="12"/>
  <c r="W25" i="12"/>
  <c r="W24" i="12"/>
  <c r="FM3" i="1"/>
  <c r="U4" i="12" s="1"/>
  <c r="FE3" i="1"/>
  <c r="T4" i="12" s="1"/>
  <c r="W7" i="12"/>
  <c r="W23" i="12"/>
  <c r="W13" i="12"/>
  <c r="W11" i="12"/>
  <c r="EO3" i="1"/>
  <c r="R4" i="12" s="1"/>
  <c r="EW3" i="1"/>
  <c r="S4" i="12" s="1"/>
  <c r="DY3" i="1"/>
  <c r="P4" i="12" s="1"/>
  <c r="EG3" i="1"/>
  <c r="Q4" i="12" s="1"/>
  <c r="DI3" i="1"/>
  <c r="N4" i="12" s="1"/>
  <c r="DQ3" i="1"/>
  <c r="O4" i="12" s="1"/>
  <c r="CS3" i="1"/>
  <c r="L4" i="12" s="1"/>
  <c r="DA3" i="1"/>
  <c r="M4" i="12" s="1"/>
  <c r="CC3" i="1"/>
  <c r="J4" i="12" s="1"/>
  <c r="CK3" i="1"/>
  <c r="K4" i="12" s="1"/>
  <c r="BM3" i="1"/>
  <c r="H4" i="12" s="1"/>
  <c r="BT3" i="1"/>
  <c r="BU3" i="1"/>
  <c r="I4" i="12" s="1"/>
  <c r="AW3" i="1"/>
  <c r="F4" i="12" s="1"/>
  <c r="BE3" i="1"/>
  <c r="G4" i="12" s="1"/>
  <c r="AG3" i="1"/>
  <c r="D4" i="12" s="1"/>
  <c r="AO3" i="1"/>
  <c r="E4" i="12" s="1"/>
  <c r="X3" i="1"/>
  <c r="Y3" i="1"/>
  <c r="C4" i="12" s="1"/>
  <c r="Q3" i="1"/>
  <c r="P3" i="1"/>
  <c r="CR12" i="1"/>
  <c r="EF8" i="1"/>
  <c r="FL8" i="1"/>
  <c r="BL4" i="1"/>
  <c r="CR23" i="1"/>
  <c r="FD23" i="1"/>
  <c r="AF23" i="1"/>
  <c r="FD19" i="1"/>
  <c r="AV5" i="1"/>
  <c r="AF5" i="1"/>
  <c r="DH5" i="1"/>
  <c r="EN5" i="1"/>
  <c r="DX18" i="1"/>
  <c r="P18" i="1"/>
  <c r="AV18" i="1"/>
  <c r="BT18" i="1"/>
  <c r="DP14" i="1"/>
  <c r="DH14" i="1"/>
  <c r="AN14" i="1"/>
  <c r="DX10" i="1"/>
  <c r="DH24" i="1"/>
  <c r="FL20" i="1"/>
  <c r="CZ20" i="1"/>
  <c r="AN20" i="1"/>
  <c r="EV20" i="1"/>
  <c r="FD16" i="1"/>
  <c r="BD16" i="1"/>
  <c r="AV16" i="1"/>
  <c r="EF12" i="1"/>
  <c r="BT12" i="1"/>
  <c r="DH12" i="1"/>
  <c r="DX8" i="1"/>
  <c r="BL8" i="1"/>
  <c r="CJ8" i="1"/>
  <c r="AF4" i="1"/>
  <c r="CZ4" i="1"/>
  <c r="P4" i="1"/>
  <c r="DH25" i="1"/>
  <c r="FD9" i="1"/>
  <c r="P23" i="1"/>
  <c r="EF23" i="1"/>
  <c r="EV23" i="1"/>
  <c r="BL23" i="1"/>
  <c r="FL19" i="1"/>
  <c r="CB19" i="1"/>
  <c r="EV11" i="1"/>
  <c r="BD5" i="1"/>
  <c r="FL5" i="1"/>
  <c r="EV5" i="1"/>
  <c r="FD5" i="1"/>
  <c r="X5" i="1"/>
  <c r="CB18" i="1"/>
  <c r="DH18" i="1"/>
  <c r="FL18" i="1"/>
  <c r="EF18" i="1"/>
  <c r="BD18" i="1"/>
  <c r="CB14" i="1"/>
  <c r="EV14" i="1"/>
  <c r="BT14" i="1"/>
  <c r="X14" i="1"/>
  <c r="CR10" i="1"/>
  <c r="BD10" i="1"/>
  <c r="AV24" i="1"/>
  <c r="CB24" i="1"/>
  <c r="CR20" i="1"/>
  <c r="AV20" i="1"/>
  <c r="FD20" i="1"/>
  <c r="AN16" i="1"/>
  <c r="BL16" i="1"/>
  <c r="DP12" i="1"/>
  <c r="CZ12" i="1"/>
  <c r="P12" i="1"/>
  <c r="EV12" i="1"/>
  <c r="AV8" i="1"/>
  <c r="FD8" i="1"/>
  <c r="BT8" i="1"/>
  <c r="CB4" i="1"/>
  <c r="BD4" i="1"/>
  <c r="CJ4" i="1"/>
  <c r="EF4" i="1"/>
  <c r="AN25" i="1"/>
  <c r="DH23" i="1"/>
  <c r="FL23" i="1"/>
  <c r="X23" i="1"/>
  <c r="AN23" i="1"/>
  <c r="EN19" i="1"/>
  <c r="EF19" i="1"/>
  <c r="CR5" i="1"/>
  <c r="CZ5" i="1"/>
  <c r="EF5" i="1"/>
  <c r="BD20" i="1"/>
  <c r="AF12" i="1"/>
  <c r="DP8" i="1"/>
  <c r="CR8" i="1"/>
  <c r="EN8" i="1"/>
  <c r="BT4" i="1"/>
  <c r="DH4" i="1"/>
  <c r="EN4" i="1"/>
  <c r="AV23" i="1"/>
  <c r="CZ23" i="1"/>
  <c r="CJ23" i="1"/>
  <c r="BT23" i="1"/>
  <c r="EN23" i="1"/>
  <c r="CR19" i="1"/>
  <c r="CB5" i="1"/>
  <c r="DX5" i="1"/>
  <c r="BT5" i="1"/>
  <c r="AN5" i="1"/>
  <c r="FL26" i="1"/>
  <c r="EV26" i="1"/>
  <c r="P22" i="1"/>
  <c r="X22" i="1"/>
  <c r="BD6" i="1"/>
  <c r="AN17" i="1"/>
  <c r="X17" i="1"/>
  <c r="CR17" i="1"/>
  <c r="DX17" i="1"/>
  <c r="BD17" i="1"/>
  <c r="DH17" i="1"/>
  <c r="BT17" i="1"/>
  <c r="EN17" i="1"/>
  <c r="EF17" i="1"/>
  <c r="EV17" i="1"/>
  <c r="FL17" i="1"/>
  <c r="CZ17" i="1"/>
  <c r="CJ17" i="1"/>
  <c r="AF17" i="1"/>
  <c r="AV17" i="1"/>
  <c r="DP17" i="1"/>
  <c r="BL17" i="1"/>
  <c r="FD17" i="1"/>
  <c r="P26" i="1"/>
  <c r="BT26" i="1"/>
  <c r="DH26" i="1"/>
  <c r="AF26" i="1"/>
  <c r="AV26" i="1"/>
  <c r="AV22" i="1"/>
  <c r="EF22" i="1"/>
  <c r="EV22" i="1"/>
  <c r="DX22" i="1"/>
  <c r="CB22" i="1"/>
  <c r="EN22" i="1"/>
  <c r="CJ18" i="1"/>
  <c r="BL18" i="1"/>
  <c r="P10" i="1"/>
  <c r="DH10" i="1"/>
  <c r="DP10" i="1"/>
  <c r="BT10" i="1"/>
  <c r="EN6" i="1"/>
  <c r="CZ6" i="1"/>
  <c r="FL6" i="1"/>
  <c r="DP6" i="1"/>
  <c r="DH6" i="1"/>
  <c r="BL6" i="1"/>
  <c r="X24" i="1"/>
  <c r="EV24" i="1"/>
  <c r="FD24" i="1"/>
  <c r="DP26" i="1"/>
  <c r="CB26" i="1"/>
  <c r="FD22" i="1"/>
  <c r="EF6" i="1"/>
  <c r="X26" i="1"/>
  <c r="CZ26" i="1"/>
  <c r="BD26" i="1"/>
  <c r="CJ22" i="1"/>
  <c r="BD22" i="1"/>
  <c r="EN18" i="1"/>
  <c r="CZ18" i="1"/>
  <c r="EF10" i="1"/>
  <c r="X10" i="1"/>
  <c r="BL10" i="1"/>
  <c r="CJ10" i="1"/>
  <c r="AV10" i="1"/>
  <c r="BT6" i="1"/>
  <c r="CR6" i="1"/>
  <c r="CJ6" i="1"/>
  <c r="FD6" i="1"/>
  <c r="AN6" i="1"/>
  <c r="DP24" i="1"/>
  <c r="EN24" i="1"/>
  <c r="AN24" i="1"/>
  <c r="CJ24" i="1"/>
  <c r="CB17" i="1"/>
  <c r="BL26" i="1"/>
  <c r="AF22" i="1"/>
  <c r="AF6" i="1"/>
  <c r="EV6" i="1"/>
  <c r="CR26" i="1"/>
  <c r="EN26" i="1"/>
  <c r="BT22" i="1"/>
  <c r="CZ22" i="1"/>
  <c r="BL22" i="1"/>
  <c r="FD18" i="1"/>
  <c r="AN18" i="1"/>
  <c r="EF26" i="1"/>
  <c r="CJ3" i="1"/>
  <c r="AV3" i="1"/>
  <c r="FD3" i="1"/>
  <c r="CB3" i="1"/>
  <c r="BL3" i="1"/>
  <c r="CZ3" i="1"/>
  <c r="BD3" i="1"/>
  <c r="FL3" i="1"/>
  <c r="EN3" i="1"/>
  <c r="EF3" i="1"/>
  <c r="EV3" i="1"/>
  <c r="DX3" i="1"/>
  <c r="CR3" i="1"/>
  <c r="AF3" i="1"/>
  <c r="DH3" i="1"/>
  <c r="AN3" i="1"/>
  <c r="FD26" i="1"/>
  <c r="DP3" i="1"/>
  <c r="CJ26" i="1"/>
  <c r="AN26" i="1"/>
  <c r="FL22" i="1"/>
  <c r="AN22" i="1"/>
  <c r="DP22" i="1"/>
  <c r="DH22" i="1"/>
  <c r="AF18" i="1"/>
  <c r="EV18" i="1"/>
  <c r="DP18" i="1"/>
  <c r="CR18" i="1"/>
  <c r="P14" i="1"/>
  <c r="AF14" i="1"/>
  <c r="EF14" i="1"/>
  <c r="CZ10" i="1"/>
  <c r="AN10" i="1"/>
  <c r="AF10" i="1"/>
  <c r="FL10" i="1"/>
  <c r="EN10" i="1"/>
  <c r="DX6" i="1"/>
  <c r="X6" i="1"/>
  <c r="CB6" i="1"/>
  <c r="P6" i="1"/>
  <c r="AF24" i="1"/>
  <c r="FL24" i="1"/>
  <c r="DX24" i="1"/>
  <c r="CZ24" i="1"/>
  <c r="P20" i="1"/>
  <c r="DP20" i="1"/>
  <c r="EF20" i="1"/>
  <c r="BT16" i="1"/>
  <c r="CJ16" i="1"/>
  <c r="CR16" i="1"/>
  <c r="CB16" i="1"/>
  <c r="DH16" i="1"/>
  <c r="EN16" i="1"/>
  <c r="DX16" i="1"/>
  <c r="AF16" i="1"/>
  <c r="FL16" i="1"/>
  <c r="EN12" i="1"/>
  <c r="FD12" i="1"/>
  <c r="DX12" i="1"/>
  <c r="CB12" i="1"/>
  <c r="BD12" i="1"/>
  <c r="CJ12" i="1"/>
  <c r="FL12" i="1"/>
  <c r="BL12" i="1"/>
  <c r="CZ8" i="1"/>
  <c r="EV8" i="1"/>
  <c r="AF8" i="1"/>
  <c r="P8" i="1"/>
  <c r="X8" i="1"/>
  <c r="BD8" i="1"/>
  <c r="DH8" i="1"/>
  <c r="AN8" i="1"/>
  <c r="P17" i="1"/>
  <c r="EF25" i="1"/>
  <c r="X25" i="1"/>
  <c r="AF25" i="1"/>
  <c r="FL25" i="1"/>
  <c r="EN9" i="1"/>
  <c r="BL9" i="1"/>
  <c r="CZ9" i="1"/>
  <c r="DP9" i="1"/>
  <c r="CB9" i="1"/>
  <c r="CZ19" i="1"/>
  <c r="AV19" i="1"/>
  <c r="AN19" i="1"/>
  <c r="DH19" i="1"/>
  <c r="DX15" i="1"/>
  <c r="P15" i="1"/>
  <c r="CR15" i="1"/>
  <c r="AN15" i="1"/>
  <c r="EV15" i="1"/>
  <c r="CJ15" i="1"/>
  <c r="EN11" i="1"/>
  <c r="BD11" i="1"/>
  <c r="CB11" i="1"/>
  <c r="EF11" i="1"/>
  <c r="X11" i="1"/>
  <c r="AV7" i="1"/>
  <c r="DP7" i="1"/>
  <c r="BD21" i="1"/>
  <c r="P21" i="1"/>
  <c r="DX21" i="1"/>
  <c r="X13" i="1"/>
  <c r="EF13" i="1"/>
  <c r="AV13" i="1"/>
  <c r="EN15" i="1"/>
  <c r="CZ15" i="1"/>
  <c r="CB15" i="1"/>
  <c r="EF15" i="1"/>
  <c r="DH7" i="1"/>
  <c r="CZ7" i="1"/>
  <c r="DX7" i="1"/>
  <c r="BT7" i="1"/>
  <c r="CJ7" i="1"/>
  <c r="FL7" i="1"/>
  <c r="BL7" i="1"/>
  <c r="EV7" i="1"/>
  <c r="AN7" i="1"/>
  <c r="FL21" i="1"/>
  <c r="AV21" i="1"/>
  <c r="CJ21" i="1"/>
  <c r="BT21" i="1"/>
  <c r="CB21" i="1"/>
  <c r="EF21" i="1"/>
  <c r="X21" i="1"/>
  <c r="DH21" i="1"/>
  <c r="P13" i="1"/>
  <c r="CZ13" i="1"/>
  <c r="BD13" i="1"/>
  <c r="BT13" i="1"/>
  <c r="FD13" i="1"/>
  <c r="FL13" i="1"/>
  <c r="CR13" i="1"/>
  <c r="AN13" i="1"/>
  <c r="BL13" i="1"/>
  <c r="BD25" i="1"/>
  <c r="DX25" i="1"/>
  <c r="EV25" i="1"/>
  <c r="CJ25" i="1"/>
  <c r="P25" i="1"/>
  <c r="AN9" i="1"/>
  <c r="BD9" i="1"/>
  <c r="CJ9" i="1"/>
  <c r="EF9" i="1"/>
  <c r="X19" i="1"/>
  <c r="DX19" i="1"/>
  <c r="BL19" i="1"/>
  <c r="BD19" i="1"/>
  <c r="AF15" i="1"/>
  <c r="AV15" i="1"/>
  <c r="X15" i="1"/>
  <c r="BD15" i="1"/>
  <c r="BT15" i="1"/>
  <c r="BT11" i="1"/>
  <c r="AN11" i="1"/>
  <c r="CZ11" i="1"/>
  <c r="DH11" i="1"/>
  <c r="EF7" i="1"/>
  <c r="CB7" i="1"/>
  <c r="BD7" i="1"/>
  <c r="EN7" i="1"/>
  <c r="AF21" i="1"/>
  <c r="CZ21" i="1"/>
  <c r="AN21" i="1"/>
  <c r="EN21" i="1"/>
  <c r="CJ13" i="1"/>
  <c r="EN13" i="1"/>
  <c r="CB13" i="1"/>
  <c r="DX13" i="1"/>
  <c r="AN4" i="1"/>
  <c r="FD4" i="1"/>
  <c r="FL4" i="1"/>
  <c r="CZ25" i="1"/>
  <c r="FD25" i="1"/>
  <c r="DP25" i="1"/>
  <c r="BT25" i="1"/>
  <c r="CR25" i="1"/>
  <c r="X9" i="1"/>
  <c r="FL9" i="1"/>
  <c r="BT9" i="1"/>
  <c r="P9" i="1"/>
  <c r="BD23" i="1"/>
  <c r="CB23" i="1"/>
  <c r="DP23" i="1"/>
  <c r="CJ19" i="1"/>
  <c r="AF19" i="1"/>
  <c r="P19" i="1"/>
  <c r="EV19" i="1"/>
  <c r="DP19" i="1"/>
  <c r="FL15" i="1"/>
  <c r="FD15" i="1"/>
  <c r="DH15" i="1"/>
  <c r="DP15" i="1"/>
  <c r="P11" i="1"/>
  <c r="AV11" i="1"/>
  <c r="FD11" i="1"/>
  <c r="FL11" i="1"/>
  <c r="DX11" i="1"/>
  <c r="CR7" i="1"/>
  <c r="AF7" i="1"/>
  <c r="P7" i="1"/>
  <c r="X7" i="1"/>
  <c r="DP21" i="1"/>
  <c r="FD21" i="1"/>
  <c r="BL21" i="1"/>
  <c r="CR21" i="1"/>
  <c r="DH13" i="1"/>
  <c r="DP13" i="1"/>
  <c r="EV13" i="1"/>
  <c r="P5" i="1"/>
  <c r="CJ5" i="1"/>
  <c r="DP5" i="1"/>
  <c r="W4" i="12" l="1"/>
  <c r="T4" i="8" a="1"/>
  <c r="T4" i="8" s="1"/>
  <c r="T4" i="2" a="1"/>
  <c r="T4" i="2" s="1"/>
  <c r="O4" i="2" a="1"/>
  <c r="O4" i="2" s="1"/>
  <c r="O4" i="8" a="1"/>
  <c r="O4" i="8" s="1"/>
  <c r="D4" i="2" a="1"/>
  <c r="D4" i="8" a="1"/>
  <c r="P4" i="8" a="1"/>
  <c r="P4" i="2" a="1"/>
  <c r="U4" i="2" a="1"/>
  <c r="U4" i="8" a="1"/>
  <c r="J4" i="8" a="1"/>
  <c r="J4" i="2" a="1"/>
  <c r="B4" i="8" a="1"/>
  <c r="B4" i="2" a="1"/>
  <c r="G4" i="2" a="1"/>
  <c r="G4" i="2" s="1"/>
  <c r="G4" i="8" a="1"/>
  <c r="G4" i="8" s="1"/>
  <c r="I4" i="2" a="1"/>
  <c r="I4" i="2" s="1"/>
  <c r="E4" i="2" a="1"/>
  <c r="E4" i="2" s="1"/>
  <c r="E4" i="8" a="1"/>
  <c r="E4" i="8" s="1"/>
  <c r="L4" i="2" a="1"/>
  <c r="L4" i="8" a="1"/>
  <c r="Q4" i="2" a="1"/>
  <c r="Q4" i="2" s="1"/>
  <c r="Q4" i="8" a="1"/>
  <c r="Q4" i="8" s="1"/>
  <c r="M4" i="2" a="1"/>
  <c r="M4" i="2" s="1"/>
  <c r="M4" i="8" a="1"/>
  <c r="M4" i="8" s="1"/>
  <c r="F4" i="2" a="1"/>
  <c r="F4" i="8" a="1"/>
  <c r="I4" i="8" a="1"/>
  <c r="I4" i="8" s="1"/>
  <c r="S4" i="2" a="1"/>
  <c r="S4" i="2" s="1"/>
  <c r="S4" i="8" a="1"/>
  <c r="S4" i="8" s="1"/>
  <c r="N4" i="2" a="1"/>
  <c r="N4" i="8" a="1"/>
  <c r="C4" i="8" a="1"/>
  <c r="C4" i="8" s="1"/>
  <c r="C4" i="2" a="1"/>
  <c r="C4" i="2" s="1"/>
  <c r="R4" i="8" a="1"/>
  <c r="R4" i="2" a="1"/>
  <c r="H4" i="8" a="1"/>
  <c r="H4" i="2" a="1"/>
  <c r="K4" i="8" a="1"/>
  <c r="K4" i="8" s="1"/>
  <c r="K4" i="2" a="1"/>
  <c r="K4" i="2" s="1"/>
  <c r="H4" i="2" l="1"/>
  <c r="F4" i="2"/>
  <c r="B4" i="2"/>
  <c r="D4" i="8"/>
  <c r="R4" i="2"/>
  <c r="N4" i="8"/>
  <c r="L4" i="2"/>
  <c r="J4" i="2"/>
  <c r="P4" i="2"/>
  <c r="R4" i="8"/>
  <c r="N4" i="2"/>
  <c r="F4" i="8"/>
  <c r="J4" i="8"/>
  <c r="P4" i="8"/>
  <c r="U4" i="8"/>
  <c r="H4" i="8"/>
  <c r="L4" i="8"/>
  <c r="B4" i="8"/>
  <c r="U4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Stacey J. Doherty</author>
  </authors>
  <commentList>
    <comment ref="FS1" authorId="0" shapeId="0" xr:uid="{7F2FB785-A80C-BF48-A143-F76588E6DBDC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****** found 4C incubator off at 10:06 am on 9/3/19, it was warm inside including the samples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Incubator was shut off sometime between 8/28 and 9/3
</t>
        </r>
      </text>
    </comment>
    <comment ref="AT33" authorId="0" shapeId="0" xr:uid="{EF220C88-FFF0-2E46-A7C2-A9BFC2A2EA9D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Over 4000 ppm
</t>
        </r>
        <r>
          <rPr>
            <sz val="10"/>
            <color rgb="FF000000"/>
            <rFont val="Tahoma"/>
            <family val="2"/>
          </rPr>
          <t xml:space="preserve">outside of instrument range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tc={79C7D980-3BD5-4B44-99A7-EEB0C188F1A1}</author>
  </authors>
  <commentList>
    <comment ref="I1" authorId="0" shapeId="0" xr:uid="{79C7D980-3BD5-4B44-99A7-EEB0C188F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comment in incubation physical chemical data sheet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<sst xmlns="http://schemas.openxmlformats.org/spreadsheetml/2006/main" count="483" uniqueCount="99">
  <si>
    <t>Sample ID</t>
  </si>
  <si>
    <t>Jar volume (mL)</t>
  </si>
  <si>
    <t xml:space="preserve">volume of soil </t>
  </si>
  <si>
    <t>flush end</t>
  </si>
  <si>
    <t>Time sampled</t>
  </si>
  <si>
    <t>CO2 concentration (ppm)</t>
  </si>
  <si>
    <t>CH4 concentration (ppm)</t>
  </si>
  <si>
    <t>mass dry soil in jar (g)</t>
  </si>
  <si>
    <t>mass wet soil in jar (g)</t>
  </si>
  <si>
    <t>Day</t>
  </si>
  <si>
    <t>Day 9</t>
  </si>
  <si>
    <t>vol headspace (L)</t>
  </si>
  <si>
    <t>SE</t>
  </si>
  <si>
    <t>incubation time elapsed (day)</t>
  </si>
  <si>
    <t>Day 44</t>
  </si>
  <si>
    <t>Day 51</t>
  </si>
  <si>
    <t>Day 96</t>
  </si>
  <si>
    <t>rate constant R (L atm/K mol)</t>
  </si>
  <si>
    <t>Incubation temp (K)</t>
  </si>
  <si>
    <t>C-CO2 rate (ug C-CO2/g dry soil/h)</t>
  </si>
  <si>
    <t>AT 3 REP 5 H2</t>
  </si>
  <si>
    <t>AT 3 REP 6 H2</t>
  </si>
  <si>
    <t>AT 3 REP 7 H2</t>
  </si>
  <si>
    <t>AT 3 REP 8 H2</t>
  </si>
  <si>
    <t>AT 4 REP 5 H2</t>
  </si>
  <si>
    <t>AT 4 REP 6 H2</t>
  </si>
  <si>
    <t>AT 4 REP 7 H2</t>
  </si>
  <si>
    <t>AT 4 REP 8 H2</t>
  </si>
  <si>
    <t>FL1C4 REP 5 H2</t>
  </si>
  <si>
    <t>FL1C4 REP 6 H2</t>
  </si>
  <si>
    <t>FL1C4 REP 7 H2</t>
  </si>
  <si>
    <t>FL1C4 REP 8 H2</t>
  </si>
  <si>
    <t>FL2C3 REP 5 H2</t>
  </si>
  <si>
    <t>FL2C3 REP 6 H2</t>
  </si>
  <si>
    <t>FL2C3 REP 7 H2</t>
  </si>
  <si>
    <t>FL2C3 REP 8 H2</t>
  </si>
  <si>
    <t>BEO 1 REP 5 H2</t>
  </si>
  <si>
    <t>BEO 1 REP 6 H2</t>
  </si>
  <si>
    <t>BEO 1 REP 7 H2</t>
  </si>
  <si>
    <t>BEO 1 REP 8 H2</t>
  </si>
  <si>
    <t>BEO 2B REP 5 H2</t>
  </si>
  <si>
    <t>BEO 2B REP 6 H2</t>
  </si>
  <si>
    <t>BEO 2B REP 7 H2</t>
  </si>
  <si>
    <t>BEO 2B REP 8 H2</t>
  </si>
  <si>
    <t>Day 0</t>
  </si>
  <si>
    <t>Day 1</t>
  </si>
  <si>
    <t>Day 2</t>
  </si>
  <si>
    <t>Day 4</t>
  </si>
  <si>
    <t>9/10/2021 13:00:00 PM</t>
  </si>
  <si>
    <t>9/12/2021  16:51:00 PM</t>
  </si>
  <si>
    <t>Day 6</t>
  </si>
  <si>
    <t>Day 12</t>
  </si>
  <si>
    <t>Day 14</t>
  </si>
  <si>
    <t>Day 19</t>
  </si>
  <si>
    <t>Day 26</t>
  </si>
  <si>
    <t>Day 30</t>
  </si>
  <si>
    <t>Day 36</t>
  </si>
  <si>
    <t>Day 58</t>
  </si>
  <si>
    <t>Day 65</t>
  </si>
  <si>
    <t>Day 74</t>
  </si>
  <si>
    <t>Day 83</t>
  </si>
  <si>
    <t>Day 92</t>
  </si>
  <si>
    <t>Average temperature (K)</t>
  </si>
  <si>
    <t>GWC</t>
  </si>
  <si>
    <t>Sample_ID</t>
  </si>
  <si>
    <t>%C</t>
  </si>
  <si>
    <t>AT3</t>
  </si>
  <si>
    <t>AT4</t>
  </si>
  <si>
    <t>FL1C4</t>
  </si>
  <si>
    <t>FL2C3</t>
  </si>
  <si>
    <t>BEO1</t>
  </si>
  <si>
    <t>BEO2B</t>
  </si>
  <si>
    <t>OM%</t>
  </si>
  <si>
    <t>%C in OM</t>
  </si>
  <si>
    <t>%OM total</t>
  </si>
  <si>
    <t>OM %</t>
  </si>
  <si>
    <t>g water</t>
  </si>
  <si>
    <t>g OM</t>
  </si>
  <si>
    <t>g mineral</t>
  </si>
  <si>
    <t>vol soil (g/cm3)</t>
  </si>
  <si>
    <t>vol water (g/cm3)</t>
  </si>
  <si>
    <t>vol mineral (g/cm3)</t>
  </si>
  <si>
    <t>vol OM (g/cm3)</t>
  </si>
  <si>
    <t xml:space="preserve">Cumulative Respiration (ug C-CO2/g dry soil) </t>
  </si>
  <si>
    <t>start adding here</t>
  </si>
  <si>
    <t>C-CO2 rate (ug C-CO2/g dry soil)</t>
  </si>
  <si>
    <t>Site</t>
  </si>
  <si>
    <t>CRREL</t>
  </si>
  <si>
    <t>Core</t>
  </si>
  <si>
    <t>Avg_</t>
  </si>
  <si>
    <t>C-CO2 amount (ug C-CO2/g dry soil) For cumulative!</t>
  </si>
  <si>
    <t>C-CO2  amount (ug C-CO2/g dry soil) For cumulative!</t>
  </si>
  <si>
    <t>FL</t>
  </si>
  <si>
    <t>Ut</t>
  </si>
  <si>
    <t>Fl1C4</t>
  </si>
  <si>
    <t>Fl2C3</t>
  </si>
  <si>
    <t>BEO2</t>
  </si>
  <si>
    <t>Avg_cumresp</t>
  </si>
  <si>
    <t>STD_dev_mean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</si>
</sst>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/yy\ h:mm;@"/>
  </numFmts>
  <fonts count="11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rgb="FF222222"/>
      <name val="Arial"/>
      <family val="2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22" fontId="0" fillId="0" borderId="1" xfId="0" applyNumberFormat="1" applyBorder="1"/>
    <xf numFmtId="22" fontId="0" fillId="0" borderId="0" xfId="0" applyNumberFormat="1"/>
    <xf numFmtId="0" fontId="4" fillId="0" borderId="0" xfId="0" applyFont="1"/>
    <xf numFmtId="2" fontId="0" fillId="0" borderId="0" xfId="0" applyNumberFormat="1"/>
    <xf numFmtId="0" fontId="0" fillId="0" borderId="1" xfId="0" applyBorder="1"/>
    <xf numFmtId="2" fontId="0" fillId="0" borderId="0" xfId="0" applyNumberFormat="1" applyAlignment="1">
      <alignment wrapText="1"/>
    </xf>
    <xf numFmtId="22" fontId="5" fillId="0" borderId="0" xfId="0" applyNumberFormat="1" applyFont="1"/>
    <xf numFmtId="49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49" fontId="5" fillId="0" borderId="0" xfId="0" applyNumberFormat="1" applyFont="1"/>
    <xf numFmtId="166" fontId="0" fillId="0" borderId="0" xfId="0" applyNumberFormat="1"/>
    <xf numFmtId="0" fontId="6" fillId="0" borderId="0" xfId="0" applyFont="1"/>
    <xf numFmtId="0" fontId="7" fillId="0" borderId="0" xfId="0" applyFont="1"/>
    <xf numFmtId="165" fontId="1" fillId="0" borderId="0" xfId="0" applyNumberFormat="1" applyFont="1"/>
    <xf numFmtId="14" fontId="0" fillId="0" borderId="0" xfId="0" applyNumberFormat="1"/>
    <xf numFmtId="165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18" fontId="0" fillId="0" borderId="0" xfId="0" applyNumberFormat="1"/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164" fontId="0" fillId="0" borderId="2" xfId="0" applyNumberFormat="1" applyBorder="1"/>
    <xf numFmtId="0" fontId="0" fillId="2" borderId="0" xfId="0" applyFill="1" applyAlignment="1">
      <alignment wrapText="1"/>
    </xf>
    <xf numFmtId="0" fontId="0" fillId="2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2" xfId="0" applyFill="1" applyBorder="1" applyAlignment="1">
      <alignment wrapText="1"/>
    </xf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0" fillId="0" borderId="0" xfId="0" applyFont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Per_hour_RATE_Summary_figs!$A$4</c:f>
              <c:strCache>
                <c:ptCount val="1"/>
                <c:pt idx="0">
                  <c:v>AT 3 REP 5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Per_hour_RATE_Summary_figs!$B$4:$U$4</c:f>
              <c:numCache>
                <c:formatCode>0.000</c:formatCode>
                <c:ptCount val="20"/>
                <c:pt idx="0">
                  <c:v>3.7580741215410014</c:v>
                </c:pt>
                <c:pt idx="1">
                  <c:v>0.73041823272400241</c:v>
                </c:pt>
                <c:pt idx="2">
                  <c:v>0.32414063284581718</c:v>
                </c:pt>
                <c:pt idx="3">
                  <c:v>6.2360685685058759E-2</c:v>
                </c:pt>
                <c:pt idx="4" formatCode="General">
                  <c:v>5.6123184183930849E-2</c:v>
                </c:pt>
                <c:pt idx="5">
                  <c:v>5.3822534338669334E-2</c:v>
                </c:pt>
                <c:pt idx="6">
                  <c:v>2.3921391475240156E-2</c:v>
                </c:pt>
                <c:pt idx="7">
                  <c:v>5.5260706207605439E-2</c:v>
                </c:pt>
                <c:pt idx="8">
                  <c:v>4.5884426345922776E-2</c:v>
                </c:pt>
                <c:pt idx="9">
                  <c:v>0.1090263873587823</c:v>
                </c:pt>
                <c:pt idx="10">
                  <c:v>0.26133221960396924</c:v>
                </c:pt>
                <c:pt idx="11">
                  <c:v>0.14296051989045722</c:v>
                </c:pt>
                <c:pt idx="12">
                  <c:v>0.10853911855397826</c:v>
                </c:pt>
                <c:pt idx="13">
                  <c:v>6.2930813498466825E-2</c:v>
                </c:pt>
                <c:pt idx="14">
                  <c:v>4.363016810069633E-2</c:v>
                </c:pt>
                <c:pt idx="15">
                  <c:v>3.6688184037120965E-2</c:v>
                </c:pt>
                <c:pt idx="16">
                  <c:v>3.88512070986511E-2</c:v>
                </c:pt>
                <c:pt idx="17">
                  <c:v>3.4210501913425111E-2</c:v>
                </c:pt>
                <c:pt idx="18">
                  <c:v>2.9558174918574421E-2</c:v>
                </c:pt>
                <c:pt idx="19">
                  <c:v>4.5704076452525791E-2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0F-D04B-964F-8FFCB37BAE46}"/>
            </c:ext>
          </c:extLst>
        </c:ser>
        <c:ser>
          <c:idx val="3"/>
          <c:order val="1"/>
          <c:tx>
            <c:strRef>
              <c:f>Per_hour_RATE_Summary_figs!$A$5</c:f>
              <c:strCache>
                <c:ptCount val="1"/>
                <c:pt idx="0">
                  <c:v>AT 3 REP 6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Per_hour_RATE_Summary_figs!$B$5:$U$5</c:f>
              <c:numCache>
                <c:formatCode>0.000</c:formatCode>
                <c:ptCount val="20"/>
                <c:pt idx="0">
                  <c:v>4.0863574966076159</c:v>
                </c:pt>
                <c:pt idx="1">
                  <c:v>1.1218163337678211</c:v>
                </c:pt>
                <c:pt idx="2">
                  <c:v>0.41511336551866185</c:v>
                </c:pt>
                <c:pt idx="3">
                  <c:v>0.10527431925233935</c:v>
                </c:pt>
                <c:pt idx="4" formatCode="General">
                  <c:v>9.637062223886117E-2</c:v>
                </c:pt>
                <c:pt idx="5">
                  <c:v>6.028548495919904E-2</c:v>
                </c:pt>
                <c:pt idx="6">
                  <c:v>3.0010318449997769E-2</c:v>
                </c:pt>
                <c:pt idx="7">
                  <c:v>6.7664381909853674E-2</c:v>
                </c:pt>
                <c:pt idx="8">
                  <c:v>4.323184360033E-2</c:v>
                </c:pt>
                <c:pt idx="9">
                  <c:v>0.13515002911672311</c:v>
                </c:pt>
                <c:pt idx="10">
                  <c:v>0.25781805995735169</c:v>
                </c:pt>
                <c:pt idx="11">
                  <c:v>0.16940365434053581</c:v>
                </c:pt>
                <c:pt idx="12">
                  <c:v>8.8107306880787856E-2</c:v>
                </c:pt>
                <c:pt idx="13">
                  <c:v>7.0630404810431049E-2</c:v>
                </c:pt>
                <c:pt idx="14">
                  <c:v>5.9124872813332528E-2</c:v>
                </c:pt>
                <c:pt idx="15">
                  <c:v>6.0363517771280871E-2</c:v>
                </c:pt>
                <c:pt idx="16">
                  <c:v>4.1384548982969158E-2</c:v>
                </c:pt>
                <c:pt idx="17">
                  <c:v>4.6452204621389846E-2</c:v>
                </c:pt>
                <c:pt idx="18">
                  <c:v>4.6007077414583562E-2</c:v>
                </c:pt>
                <c:pt idx="19">
                  <c:v>5.8124798888918389E-2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0F-D04B-964F-8FFCB37BAE46}"/>
            </c:ext>
          </c:extLst>
        </c:ser>
        <c:ser>
          <c:idx val="4"/>
          <c:order val="2"/>
          <c:tx>
            <c:strRef>
              <c:f>Per_hour_RATE_Summary_figs!$A$6</c:f>
              <c:strCache>
                <c:ptCount val="1"/>
                <c:pt idx="0">
                  <c:v>AT 3 REP 7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Per_hour_RATE_Summary_figs!$B$6:$U$6</c:f>
              <c:numCache>
                <c:formatCode>0.000</c:formatCode>
                <c:ptCount val="20"/>
                <c:pt idx="0">
                  <c:v>3.5403382056087884</c:v>
                </c:pt>
                <c:pt idx="1">
                  <c:v>1.1020980234030564</c:v>
                </c:pt>
                <c:pt idx="2">
                  <c:v>0.39134072266932524</c:v>
                </c:pt>
                <c:pt idx="3">
                  <c:v>0.12753662799283194</c:v>
                </c:pt>
                <c:pt idx="4" formatCode="General">
                  <c:v>9.1596364546795039E-2</c:v>
                </c:pt>
                <c:pt idx="5">
                  <c:v>8.6690586799360606E-2</c:v>
                </c:pt>
                <c:pt idx="6">
                  <c:v>3.8988506575201025E-2</c:v>
                </c:pt>
                <c:pt idx="7">
                  <c:v>7.8759228663851377E-2</c:v>
                </c:pt>
                <c:pt idx="8">
                  <c:v>5.7765822091190633E-2</c:v>
                </c:pt>
                <c:pt idx="9">
                  <c:v>0.16077995231157391</c:v>
                </c:pt>
                <c:pt idx="10">
                  <c:v>0.24423859402257797</c:v>
                </c:pt>
                <c:pt idx="11">
                  <c:v>0.12992216568022288</c:v>
                </c:pt>
                <c:pt idx="12">
                  <c:v>8.2095387769625605E-2</c:v>
                </c:pt>
                <c:pt idx="13">
                  <c:v>6.4671160595531615E-2</c:v>
                </c:pt>
                <c:pt idx="14">
                  <c:v>5.4879547231599275E-2</c:v>
                </c:pt>
                <c:pt idx="15">
                  <c:v>4.7355120901259026E-2</c:v>
                </c:pt>
                <c:pt idx="16">
                  <c:v>4.4471673155660175E-2</c:v>
                </c:pt>
                <c:pt idx="17">
                  <c:v>4.8484760166500329E-2</c:v>
                </c:pt>
                <c:pt idx="18">
                  <c:v>8.9856370799675137E-2</c:v>
                </c:pt>
                <c:pt idx="19">
                  <c:v>6.8180180143561614E-2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0F-D04B-964F-8FFCB37BAE46}"/>
            </c:ext>
          </c:extLst>
        </c:ser>
        <c:ser>
          <c:idx val="5"/>
          <c:order val="3"/>
          <c:tx>
            <c:strRef>
              <c:f>Per_hour_RATE_Summary_figs!$A$7</c:f>
              <c:strCache>
                <c:ptCount val="1"/>
                <c:pt idx="0">
                  <c:v>AT 3 REP 8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Per_hour_RATE_Summary_figs!$B$7:$U$7</c:f>
              <c:numCache>
                <c:formatCode>0.000</c:formatCode>
                <c:ptCount val="20"/>
                <c:pt idx="0">
                  <c:v>2.593089908584906</c:v>
                </c:pt>
                <c:pt idx="1">
                  <c:v>0.51420710850322249</c:v>
                </c:pt>
                <c:pt idx="2">
                  <c:v>0.23756691821406647</c:v>
                </c:pt>
                <c:pt idx="3">
                  <c:v>5.767297405025372E-2</c:v>
                </c:pt>
                <c:pt idx="4" formatCode="General">
                  <c:v>4.9389939798695902E-2</c:v>
                </c:pt>
                <c:pt idx="5">
                  <c:v>3.4455982588543703E-2</c:v>
                </c:pt>
                <c:pt idx="6">
                  <c:v>1.1987654426593183E-2</c:v>
                </c:pt>
                <c:pt idx="7">
                  <c:v>3.8885771460619362E-2</c:v>
                </c:pt>
                <c:pt idx="8">
                  <c:v>3.2670158652178309E-2</c:v>
                </c:pt>
                <c:pt idx="9">
                  <c:v>9.190012158369476E-2</c:v>
                </c:pt>
                <c:pt idx="10">
                  <c:v>0.13926546685306396</c:v>
                </c:pt>
                <c:pt idx="11">
                  <c:v>8.8537240014755894E-2</c:v>
                </c:pt>
                <c:pt idx="12">
                  <c:v>6.1420606270237703E-2</c:v>
                </c:pt>
                <c:pt idx="13">
                  <c:v>5.9868770192253729E-2</c:v>
                </c:pt>
                <c:pt idx="14">
                  <c:v>3.5492143724547627E-2</c:v>
                </c:pt>
                <c:pt idx="15">
                  <c:v>3.1946020198297322E-2</c:v>
                </c:pt>
                <c:pt idx="16">
                  <c:v>3.0591503983372278E-2</c:v>
                </c:pt>
                <c:pt idx="17">
                  <c:v>2.8495820132785107E-2</c:v>
                </c:pt>
                <c:pt idx="18">
                  <c:v>2.5254372843541612E-2</c:v>
                </c:pt>
                <c:pt idx="19">
                  <c:v>4.0432452245150657E-2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0F-D04B-964F-8FFCB37BAE46}"/>
            </c:ext>
          </c:extLst>
        </c:ser>
        <c:ser>
          <c:idx val="6"/>
          <c:order val="4"/>
          <c:tx>
            <c:strRef>
              <c:f>Per_hour_RATE_Summary_figs!$A$8</c:f>
              <c:strCache>
                <c:ptCount val="1"/>
                <c:pt idx="0">
                  <c:v>AT 4 REP 5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Per_hour_RATE_Summary_figs!$B$8:$U$8</c:f>
              <c:numCache>
                <c:formatCode>0.000</c:formatCode>
                <c:ptCount val="20"/>
                <c:pt idx="0">
                  <c:v>1.6823175139129609</c:v>
                </c:pt>
                <c:pt idx="1">
                  <c:v>0.38075467308399619</c:v>
                </c:pt>
                <c:pt idx="2">
                  <c:v>0.14625126865812177</c:v>
                </c:pt>
                <c:pt idx="3">
                  <c:v>3.8314719709823863E-2</c:v>
                </c:pt>
                <c:pt idx="4" formatCode="General">
                  <c:v>2.8296167775639008E-2</c:v>
                </c:pt>
                <c:pt idx="5">
                  <c:v>2.4155519669893138E-2</c:v>
                </c:pt>
                <c:pt idx="6">
                  <c:v>1.3200910774906593E-2</c:v>
                </c:pt>
                <c:pt idx="7">
                  <c:v>2.5116448147142884E-2</c:v>
                </c:pt>
                <c:pt idx="8">
                  <c:v>3.1050066202893158E-2</c:v>
                </c:pt>
                <c:pt idx="9">
                  <c:v>6.7865602214755197E-2</c:v>
                </c:pt>
                <c:pt idx="10">
                  <c:v>0.11090077614750204</c:v>
                </c:pt>
                <c:pt idx="11">
                  <c:v>0.1324424235137569</c:v>
                </c:pt>
                <c:pt idx="12">
                  <c:v>0.12732590425234505</c:v>
                </c:pt>
                <c:pt idx="13">
                  <c:v>7.1634448019909286E-2</c:v>
                </c:pt>
                <c:pt idx="14">
                  <c:v>6.2638979829536826E-2</c:v>
                </c:pt>
                <c:pt idx="15">
                  <c:v>3.478668518015135E-2</c:v>
                </c:pt>
                <c:pt idx="16">
                  <c:v>3.1614246087922418E-2</c:v>
                </c:pt>
                <c:pt idx="17">
                  <c:v>3.1977183876086501E-2</c:v>
                </c:pt>
                <c:pt idx="18">
                  <c:v>3.5110998718559938E-2</c:v>
                </c:pt>
                <c:pt idx="19">
                  <c:v>4.2765852103798845E-2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0F-D04B-964F-8FFCB37BAE46}"/>
            </c:ext>
          </c:extLst>
        </c:ser>
        <c:ser>
          <c:idx val="7"/>
          <c:order val="5"/>
          <c:tx>
            <c:strRef>
              <c:f>Per_hour_RATE_Summary_figs!$A$9</c:f>
              <c:strCache>
                <c:ptCount val="1"/>
                <c:pt idx="0">
                  <c:v>AT 4 REP 6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Per_hour_RATE_Summary_figs!$B$9:$U$9</c:f>
              <c:numCache>
                <c:formatCode>0.000</c:formatCode>
                <c:ptCount val="20"/>
                <c:pt idx="0">
                  <c:v>1.997484797073334</c:v>
                </c:pt>
                <c:pt idx="1">
                  <c:v>0.44171003494386868</c:v>
                </c:pt>
                <c:pt idx="2">
                  <c:v>0.20065391264517379</c:v>
                </c:pt>
                <c:pt idx="3">
                  <c:v>5.0423496320591787E-2</c:v>
                </c:pt>
                <c:pt idx="4" formatCode="General">
                  <c:v>4.6298560895041634E-2</c:v>
                </c:pt>
                <c:pt idx="5">
                  <c:v>2.5116912505859894E-2</c:v>
                </c:pt>
                <c:pt idx="6">
                  <c:v>1.5307835237886171E-2</c:v>
                </c:pt>
                <c:pt idx="7">
                  <c:v>2.5132712990962133E-2</c:v>
                </c:pt>
                <c:pt idx="8">
                  <c:v>1.7580546851826195E-2</c:v>
                </c:pt>
                <c:pt idx="9">
                  <c:v>3.2885072503558044E-2</c:v>
                </c:pt>
                <c:pt idx="10">
                  <c:v>8.1566183190183356E-2</c:v>
                </c:pt>
                <c:pt idx="11">
                  <c:v>0.11533223435936835</c:v>
                </c:pt>
                <c:pt idx="12">
                  <c:v>0.10140044441003779</c:v>
                </c:pt>
                <c:pt idx="13">
                  <c:v>7.3867047050597739E-2</c:v>
                </c:pt>
                <c:pt idx="14">
                  <c:v>4.3824538955866951E-2</c:v>
                </c:pt>
                <c:pt idx="15">
                  <c:v>3.7743985404098498E-2</c:v>
                </c:pt>
                <c:pt idx="16">
                  <c:v>2.8896884445975775E-2</c:v>
                </c:pt>
                <c:pt idx="17">
                  <c:v>3.2419904239169024E-2</c:v>
                </c:pt>
                <c:pt idx="18">
                  <c:v>2.8974574196453082E-2</c:v>
                </c:pt>
                <c:pt idx="19">
                  <c:v>3.4235616454616036E-2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0F-D04B-964F-8FFCB37BAE46}"/>
            </c:ext>
          </c:extLst>
        </c:ser>
        <c:ser>
          <c:idx val="8"/>
          <c:order val="6"/>
          <c:tx>
            <c:strRef>
              <c:f>Per_hour_RATE_Summary_figs!$A$10</c:f>
              <c:strCache>
                <c:ptCount val="1"/>
                <c:pt idx="0">
                  <c:v>AT 4 REP 7 H2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Per_hour_RATE_Summary_figs!$B$10:$U$10</c:f>
              <c:numCache>
                <c:formatCode>0.000</c:formatCode>
                <c:ptCount val="20"/>
                <c:pt idx="0">
                  <c:v>1.7233524722135316</c:v>
                </c:pt>
                <c:pt idx="1">
                  <c:v>0.39572681207992078</c:v>
                </c:pt>
                <c:pt idx="2">
                  <c:v>0.18441444844887614</c:v>
                </c:pt>
                <c:pt idx="3">
                  <c:v>5.7477552456376486E-2</c:v>
                </c:pt>
                <c:pt idx="4" formatCode="General">
                  <c:v>3.394178980144931E-2</c:v>
                </c:pt>
                <c:pt idx="5">
                  <c:v>2.4947612268991927E-2</c:v>
                </c:pt>
                <c:pt idx="6">
                  <c:v>1.4984720106355896E-2</c:v>
                </c:pt>
                <c:pt idx="7">
                  <c:v>2.5806577197332821E-2</c:v>
                </c:pt>
                <c:pt idx="8">
                  <c:v>2.7094673094622948E-2</c:v>
                </c:pt>
                <c:pt idx="9">
                  <c:v>5.4925594824653541E-2</c:v>
                </c:pt>
                <c:pt idx="10">
                  <c:v>0.1034498669724566</c:v>
                </c:pt>
                <c:pt idx="11">
                  <c:v>0.12237812507777707</c:v>
                </c:pt>
                <c:pt idx="12">
                  <c:v>8.4414671010603876E-2</c:v>
                </c:pt>
                <c:pt idx="13">
                  <c:v>5.2429997732375451E-2</c:v>
                </c:pt>
                <c:pt idx="14">
                  <c:v>3.5308980596633732E-2</c:v>
                </c:pt>
                <c:pt idx="15">
                  <c:v>2.3495150344601461E-2</c:v>
                </c:pt>
                <c:pt idx="16">
                  <c:v>2.050769799202035E-2</c:v>
                </c:pt>
                <c:pt idx="17">
                  <c:v>2.1105421725636914E-2</c:v>
                </c:pt>
                <c:pt idx="18">
                  <c:v>2.2327666369788234E-2</c:v>
                </c:pt>
                <c:pt idx="19">
                  <c:v>2.3102240362719951E-2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0F-D04B-964F-8FFCB37BAE46}"/>
            </c:ext>
          </c:extLst>
        </c:ser>
        <c:ser>
          <c:idx val="9"/>
          <c:order val="7"/>
          <c:tx>
            <c:strRef>
              <c:f>Per_hour_RATE_Summary_figs!$A$11</c:f>
              <c:strCache>
                <c:ptCount val="1"/>
                <c:pt idx="0">
                  <c:v>AT 4 REP 8 H2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Per_hour_RATE_Summary_figs!$B$11:$U$11</c:f>
              <c:numCache>
                <c:formatCode>0.000</c:formatCode>
                <c:ptCount val="20"/>
                <c:pt idx="0">
                  <c:v>1.9406283237183573</c:v>
                </c:pt>
                <c:pt idx="1">
                  <c:v>0.56080548082041681</c:v>
                </c:pt>
                <c:pt idx="2">
                  <c:v>0.18783006641545139</c:v>
                </c:pt>
                <c:pt idx="3">
                  <c:v>4.5217096219680002E-2</c:v>
                </c:pt>
                <c:pt idx="4" formatCode="General">
                  <c:v>4.659248085529314E-2</c:v>
                </c:pt>
                <c:pt idx="5">
                  <c:v>2.5313007970890897E-2</c:v>
                </c:pt>
                <c:pt idx="6">
                  <c:v>1.0095357597279354E-2</c:v>
                </c:pt>
                <c:pt idx="7">
                  <c:v>2.7061087498737871E-2</c:v>
                </c:pt>
                <c:pt idx="8">
                  <c:v>1.5968193041632543E-2</c:v>
                </c:pt>
                <c:pt idx="9">
                  <c:v>4.1319385439351063E-2</c:v>
                </c:pt>
                <c:pt idx="10">
                  <c:v>8.829073255982077E-2</c:v>
                </c:pt>
                <c:pt idx="11">
                  <c:v>0.12290997115969486</c:v>
                </c:pt>
                <c:pt idx="12">
                  <c:v>0.10461349115683491</c:v>
                </c:pt>
                <c:pt idx="13">
                  <c:v>6.3541623066256867E-2</c:v>
                </c:pt>
                <c:pt idx="14">
                  <c:v>4.3125370475180468E-2</c:v>
                </c:pt>
                <c:pt idx="15">
                  <c:v>3.0507070084027553E-2</c:v>
                </c:pt>
                <c:pt idx="16">
                  <c:v>2.3146057105808179E-2</c:v>
                </c:pt>
                <c:pt idx="17">
                  <c:v>2.1347544532725915E-2</c:v>
                </c:pt>
                <c:pt idx="18">
                  <c:v>1.9179352672369483E-2</c:v>
                </c:pt>
                <c:pt idx="19">
                  <c:v>2.7315256586948954E-2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0F-D04B-964F-8FFCB37B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977311"/>
        <c:axId val="20362048"/>
      </c:lineChart>
      <c:catAx>
        <c:axId val="2120977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048"/>
        <c:crosses val="autoZero"/>
        <c:auto val="1"/>
        <c:lblAlgn val="ctr"/>
        <c:lblOffset val="100"/>
        <c:noMultiLvlLbl val="0"/>
      </c:catAx>
      <c:valAx>
        <c:axId val="203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Farmer's</a:t>
            </a:r>
            <a:r>
              <a:rPr lang="en-US" baseline="0"/>
              <a:t> Loop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Per_hour_RATE_Summary_figs!$A$12</c:f>
              <c:strCache>
                <c:ptCount val="1"/>
                <c:pt idx="0">
                  <c:v>FL1C4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Per_hour_RATE_Summary_figs!$B$12:$U$12</c:f>
              <c:numCache>
                <c:formatCode>0.000</c:formatCode>
                <c:ptCount val="20"/>
                <c:pt idx="0">
                  <c:v>3.2109325008101344</c:v>
                </c:pt>
                <c:pt idx="1">
                  <c:v>1.7134096913702248</c:v>
                </c:pt>
                <c:pt idx="2">
                  <c:v>1.4615729357010616</c:v>
                </c:pt>
                <c:pt idx="3">
                  <c:v>0.62743423672580789</c:v>
                </c:pt>
                <c:pt idx="4" formatCode="General">
                  <c:v>0.66255591712600093</c:v>
                </c:pt>
                <c:pt idx="5">
                  <c:v>1.2965441301165037</c:v>
                </c:pt>
                <c:pt idx="6">
                  <c:v>0.68174652264420421</c:v>
                </c:pt>
                <c:pt idx="7">
                  <c:v>1.0340116286054555</c:v>
                </c:pt>
                <c:pt idx="8">
                  <c:v>2.5120610570557464</c:v>
                </c:pt>
                <c:pt idx="9">
                  <c:v>1.0915665510700174</c:v>
                </c:pt>
                <c:pt idx="10">
                  <c:v>0.61541756966746408</c:v>
                </c:pt>
                <c:pt idx="11">
                  <c:v>0.38838796158648786</c:v>
                </c:pt>
                <c:pt idx="12">
                  <c:v>0.36916144049546162</c:v>
                </c:pt>
                <c:pt idx="13">
                  <c:v>0.36001820506746801</c:v>
                </c:pt>
                <c:pt idx="14">
                  <c:v>0.47411861917230963</c:v>
                </c:pt>
                <c:pt idx="15">
                  <c:v>0.4747862607175794</c:v>
                </c:pt>
                <c:pt idx="16">
                  <c:v>0.38567037743964561</c:v>
                </c:pt>
                <c:pt idx="17">
                  <c:v>0.33115675813484186</c:v>
                </c:pt>
                <c:pt idx="18">
                  <c:v>0.29235559148173607</c:v>
                </c:pt>
                <c:pt idx="19">
                  <c:v>0.34941935890206777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2-8D49-914A-D582D35B2479}"/>
            </c:ext>
          </c:extLst>
        </c:ser>
        <c:ser>
          <c:idx val="1"/>
          <c:order val="1"/>
          <c:tx>
            <c:strRef>
              <c:f>Per_hour_RATE_Summary_figs!$A$13</c:f>
              <c:strCache>
                <c:ptCount val="1"/>
                <c:pt idx="0">
                  <c:v>FL1C4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Per_hour_RATE_Summary_figs!$B$13:$U$13</c:f>
              <c:numCache>
                <c:formatCode>0.000</c:formatCode>
                <c:ptCount val="20"/>
                <c:pt idx="0">
                  <c:v>3.2769097100247957</c:v>
                </c:pt>
                <c:pt idx="1">
                  <c:v>1.7368995056363201</c:v>
                </c:pt>
                <c:pt idx="2">
                  <c:v>1.3985860002153496</c:v>
                </c:pt>
                <c:pt idx="3">
                  <c:v>0.63149247622942706</c:v>
                </c:pt>
                <c:pt idx="4" formatCode="General">
                  <c:v>0.84132791229393589</c:v>
                </c:pt>
                <c:pt idx="5">
                  <c:v>0.67117268373305794</c:v>
                </c:pt>
                <c:pt idx="6">
                  <c:v>0.17575480451786249</c:v>
                </c:pt>
                <c:pt idx="7">
                  <c:v>0.43060028362384561</c:v>
                </c:pt>
                <c:pt idx="8">
                  <c:v>0.29431164438231106</c:v>
                </c:pt>
                <c:pt idx="9">
                  <c:v>0.29071901840051773</c:v>
                </c:pt>
                <c:pt idx="10">
                  <c:v>0.31755719533757737</c:v>
                </c:pt>
                <c:pt idx="11">
                  <c:v>0.28032704740997899</c:v>
                </c:pt>
                <c:pt idx="12">
                  <c:v>0.27352946212890306</c:v>
                </c:pt>
                <c:pt idx="13">
                  <c:v>0.4211032588507172</c:v>
                </c:pt>
                <c:pt idx="14">
                  <c:v>0.51478759368499749</c:v>
                </c:pt>
                <c:pt idx="15">
                  <c:v>0.4687325959523152</c:v>
                </c:pt>
                <c:pt idx="16">
                  <c:v>0.31685050441889778</c:v>
                </c:pt>
                <c:pt idx="17">
                  <c:v>0.3123740764742387</c:v>
                </c:pt>
                <c:pt idx="18">
                  <c:v>0.28744395936135742</c:v>
                </c:pt>
                <c:pt idx="19">
                  <c:v>0.37750545367807653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2-8D49-914A-D582D35B2479}"/>
            </c:ext>
          </c:extLst>
        </c:ser>
        <c:ser>
          <c:idx val="2"/>
          <c:order val="2"/>
          <c:tx>
            <c:strRef>
              <c:f>Per_hour_RATE_Summary_figs!$A$14</c:f>
              <c:strCache>
                <c:ptCount val="1"/>
                <c:pt idx="0">
                  <c:v>FL1C4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Per_hour_RATE_Summary_figs!$B$14:$U$14</c:f>
              <c:numCache>
                <c:formatCode>0.000</c:formatCode>
                <c:ptCount val="20"/>
                <c:pt idx="0">
                  <c:v>5.9136466619777899</c:v>
                </c:pt>
                <c:pt idx="1">
                  <c:v>1.5469296396855516</c:v>
                </c:pt>
                <c:pt idx="2">
                  <c:v>1.0848920689234751</c:v>
                </c:pt>
                <c:pt idx="3">
                  <c:v>0.69399810689116248</c:v>
                </c:pt>
                <c:pt idx="4" formatCode="General">
                  <c:v>0.74895060626362275</c:v>
                </c:pt>
                <c:pt idx="5">
                  <c:v>0.56261790768220599</c:v>
                </c:pt>
                <c:pt idx="6">
                  <c:v>0.23833475802598195</c:v>
                </c:pt>
                <c:pt idx="7">
                  <c:v>0.32752820686630213</c:v>
                </c:pt>
                <c:pt idx="8">
                  <c:v>0.24544301698964133</c:v>
                </c:pt>
                <c:pt idx="9">
                  <c:v>0.25013805547859808</c:v>
                </c:pt>
                <c:pt idx="10">
                  <c:v>0.29676373482887003</c:v>
                </c:pt>
                <c:pt idx="11">
                  <c:v>0.24767451665918228</c:v>
                </c:pt>
                <c:pt idx="12">
                  <c:v>0.2793742587848756</c:v>
                </c:pt>
                <c:pt idx="13">
                  <c:v>0.27798854159522812</c:v>
                </c:pt>
                <c:pt idx="14">
                  <c:v>0.35531837595030108</c:v>
                </c:pt>
                <c:pt idx="15">
                  <c:v>0.32278181825233354</c:v>
                </c:pt>
                <c:pt idx="16">
                  <c:v>0.34464319660067833</c:v>
                </c:pt>
                <c:pt idx="17">
                  <c:v>0.29418336244399423</c:v>
                </c:pt>
                <c:pt idx="18">
                  <c:v>0.31515296225916711</c:v>
                </c:pt>
                <c:pt idx="19">
                  <c:v>0.33846620080188222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2-8D49-914A-D582D35B2479}"/>
            </c:ext>
          </c:extLst>
        </c:ser>
        <c:ser>
          <c:idx val="3"/>
          <c:order val="3"/>
          <c:tx>
            <c:strRef>
              <c:f>Per_hour_RATE_Summary_figs!$A$15</c:f>
              <c:strCache>
                <c:ptCount val="1"/>
                <c:pt idx="0">
                  <c:v>FL1C4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Per_hour_RATE_Summary_figs!$B$15:$U$15</c:f>
              <c:numCache>
                <c:formatCode>0.000</c:formatCode>
                <c:ptCount val="20"/>
                <c:pt idx="0">
                  <c:v>2.5100192489418673</c:v>
                </c:pt>
                <c:pt idx="1">
                  <c:v>1.5665845833885124</c:v>
                </c:pt>
                <c:pt idx="2">
                  <c:v>1.2823304583324799</c:v>
                </c:pt>
                <c:pt idx="3">
                  <c:v>0.55810999774297398</c:v>
                </c:pt>
                <c:pt idx="4" formatCode="General">
                  <c:v>0.85647532482345279</c:v>
                </c:pt>
                <c:pt idx="5">
                  <c:v>0.80562727292423764</c:v>
                </c:pt>
                <c:pt idx="6">
                  <c:v>0.23010897977307698</c:v>
                </c:pt>
                <c:pt idx="7">
                  <c:v>0.39192195062982138</c:v>
                </c:pt>
                <c:pt idx="8">
                  <c:v>0.30748013127472795</c:v>
                </c:pt>
                <c:pt idx="9">
                  <c:v>0.304341982449367</c:v>
                </c:pt>
                <c:pt idx="10">
                  <c:v>0.37056337810124984</c:v>
                </c:pt>
                <c:pt idx="11">
                  <c:v>0.35685065607578398</c:v>
                </c:pt>
                <c:pt idx="12">
                  <c:v>0.29330618400146785</c:v>
                </c:pt>
                <c:pt idx="13">
                  <c:v>0.40476708485833879</c:v>
                </c:pt>
                <c:pt idx="14">
                  <c:v>0.37065462365561985</c:v>
                </c:pt>
                <c:pt idx="15">
                  <c:v>0.36686611985692458</c:v>
                </c:pt>
                <c:pt idx="16">
                  <c:v>0.34974586547638087</c:v>
                </c:pt>
                <c:pt idx="17">
                  <c:v>0.38153911716448835</c:v>
                </c:pt>
                <c:pt idx="18">
                  <c:v>0.3703379125090559</c:v>
                </c:pt>
                <c:pt idx="19">
                  <c:v>0.60310950479191694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2-8D49-914A-D582D35B2479}"/>
            </c:ext>
          </c:extLst>
        </c:ser>
        <c:ser>
          <c:idx val="4"/>
          <c:order val="4"/>
          <c:tx>
            <c:strRef>
              <c:f>Per_hour_RATE_Summary_figs!$A$16</c:f>
              <c:strCache>
                <c:ptCount val="1"/>
                <c:pt idx="0">
                  <c:v>FL2C3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Per_hour_RATE_Summary_figs!$B$16:$U$16</c:f>
              <c:numCache>
                <c:formatCode>0.000</c:formatCode>
                <c:ptCount val="20"/>
                <c:pt idx="0">
                  <c:v>79.390216584965685</c:v>
                </c:pt>
                <c:pt idx="1">
                  <c:v>2.4089426621222576</c:v>
                </c:pt>
                <c:pt idx="2">
                  <c:v>1.100146535029104</c:v>
                </c:pt>
                <c:pt idx="3">
                  <c:v>0.72107111097116205</c:v>
                </c:pt>
                <c:pt idx="4" formatCode="General">
                  <c:v>0.70520087597888703</c:v>
                </c:pt>
                <c:pt idx="5">
                  <c:v>0.95804126650004973</c:v>
                </c:pt>
                <c:pt idx="6">
                  <c:v>0.29947532691675027</c:v>
                </c:pt>
                <c:pt idx="7">
                  <c:v>0.43085986056198106</c:v>
                </c:pt>
                <c:pt idx="8">
                  <c:v>0.44688328212175138</c:v>
                </c:pt>
                <c:pt idx="9">
                  <c:v>0.49658666398052115</c:v>
                </c:pt>
                <c:pt idx="10">
                  <c:v>0.18896362226736738</c:v>
                </c:pt>
                <c:pt idx="11">
                  <c:v>1.028764540482054</c:v>
                </c:pt>
                <c:pt idx="12">
                  <c:v>0.84862470688215463</c:v>
                </c:pt>
                <c:pt idx="13">
                  <c:v>0.65756570938485093</c:v>
                </c:pt>
                <c:pt idx="14">
                  <c:v>0.63166196179468781</c:v>
                </c:pt>
                <c:pt idx="15">
                  <c:v>0.47640234420703176</c:v>
                </c:pt>
                <c:pt idx="16">
                  <c:v>0.51688356577542571</c:v>
                </c:pt>
                <c:pt idx="17">
                  <c:v>0.48249772466789553</c:v>
                </c:pt>
                <c:pt idx="18">
                  <c:v>0.64525219863196814</c:v>
                </c:pt>
                <c:pt idx="19">
                  <c:v>0.60789340107676115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2-8D49-914A-D582D35B2479}"/>
            </c:ext>
          </c:extLst>
        </c:ser>
        <c:ser>
          <c:idx val="5"/>
          <c:order val="5"/>
          <c:tx>
            <c:strRef>
              <c:f>Per_hour_RATE_Summary_figs!$A$17</c:f>
              <c:strCache>
                <c:ptCount val="1"/>
                <c:pt idx="0">
                  <c:v>FL2C3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Per_hour_RATE_Summary_figs!$B$17:$U$17</c:f>
              <c:numCache>
                <c:formatCode>0.000</c:formatCode>
                <c:ptCount val="20"/>
                <c:pt idx="0">
                  <c:v>21.623437946507678</c:v>
                </c:pt>
                <c:pt idx="1">
                  <c:v>2.891642489107344</c:v>
                </c:pt>
                <c:pt idx="2">
                  <c:v>1.5059661903201702</c:v>
                </c:pt>
                <c:pt idx="3">
                  <c:v>0.67598149993569245</c:v>
                </c:pt>
                <c:pt idx="4" formatCode="General">
                  <c:v>0.82773631926986269</c:v>
                </c:pt>
                <c:pt idx="5">
                  <c:v>0.79367493296190195</c:v>
                </c:pt>
                <c:pt idx="6">
                  <c:v>0.23334911114433241</c:v>
                </c:pt>
                <c:pt idx="7">
                  <c:v>0.46101282345451361</c:v>
                </c:pt>
                <c:pt idx="8">
                  <c:v>0.37636807708918257</c:v>
                </c:pt>
                <c:pt idx="9">
                  <c:v>0.54174304304345444</c:v>
                </c:pt>
                <c:pt idx="10">
                  <c:v>0.75966715952739627</c:v>
                </c:pt>
                <c:pt idx="11">
                  <c:v>1.243169232668905</c:v>
                </c:pt>
                <c:pt idx="12">
                  <c:v>1.1371906191526215</c:v>
                </c:pt>
                <c:pt idx="13">
                  <c:v>0.9667337250164586</c:v>
                </c:pt>
                <c:pt idx="14">
                  <c:v>0.6679206111298911</c:v>
                </c:pt>
                <c:pt idx="15">
                  <c:v>0.61025448153077966</c:v>
                </c:pt>
                <c:pt idx="16">
                  <c:v>0.52858412063742977</c:v>
                </c:pt>
                <c:pt idx="17">
                  <c:v>0.84148233677605833</c:v>
                </c:pt>
                <c:pt idx="18">
                  <c:v>0.5046916886088445</c:v>
                </c:pt>
                <c:pt idx="19">
                  <c:v>0.71955029838140117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2-8D49-914A-D582D35B2479}"/>
            </c:ext>
          </c:extLst>
        </c:ser>
        <c:ser>
          <c:idx val="6"/>
          <c:order val="6"/>
          <c:tx>
            <c:strRef>
              <c:f>Per_hour_RATE_Summary_figs!$A$18</c:f>
              <c:strCache>
                <c:ptCount val="1"/>
                <c:pt idx="0">
                  <c:v>FL2C3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Per_hour_RATE_Summary_figs!$B$18:$U$18</c:f>
              <c:numCache>
                <c:formatCode>0.000</c:formatCode>
                <c:ptCount val="20"/>
                <c:pt idx="0">
                  <c:v>31.535102566144552</c:v>
                </c:pt>
                <c:pt idx="1">
                  <c:v>2.9904948362891779</c:v>
                </c:pt>
                <c:pt idx="2">
                  <c:v>1.1786794716710614</c:v>
                </c:pt>
                <c:pt idx="3">
                  <c:v>0.75087845466944791</c:v>
                </c:pt>
                <c:pt idx="4" formatCode="General">
                  <c:v>0.69902836094268272</c:v>
                </c:pt>
                <c:pt idx="5">
                  <c:v>0.9848523039733329</c:v>
                </c:pt>
                <c:pt idx="6">
                  <c:v>0.30662435289041506</c:v>
                </c:pt>
                <c:pt idx="7">
                  <c:v>0.51969087391301216</c:v>
                </c:pt>
                <c:pt idx="8">
                  <c:v>0.36907727357319237</c:v>
                </c:pt>
                <c:pt idx="9">
                  <c:v>0.42238499496509785</c:v>
                </c:pt>
                <c:pt idx="10">
                  <c:v>0.52068987724304405</c:v>
                </c:pt>
                <c:pt idx="11">
                  <c:v>0.69247475361129862</c:v>
                </c:pt>
                <c:pt idx="12">
                  <c:v>0.4523124364971417</c:v>
                </c:pt>
                <c:pt idx="13">
                  <c:v>0.37359154036673048</c:v>
                </c:pt>
                <c:pt idx="14">
                  <c:v>0.33638426213407879</c:v>
                </c:pt>
                <c:pt idx="15">
                  <c:v>0.30944729750169064</c:v>
                </c:pt>
                <c:pt idx="16">
                  <c:v>0.27990439216909385</c:v>
                </c:pt>
                <c:pt idx="17">
                  <c:v>0.28974503355361664</c:v>
                </c:pt>
                <c:pt idx="18">
                  <c:v>0.32112321594543908</c:v>
                </c:pt>
                <c:pt idx="19">
                  <c:v>0.51806394202265149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52-8D49-914A-D582D35B2479}"/>
            </c:ext>
          </c:extLst>
        </c:ser>
        <c:ser>
          <c:idx val="7"/>
          <c:order val="7"/>
          <c:tx>
            <c:strRef>
              <c:f>Per_hour_RATE_Summary_figs!$A$19</c:f>
              <c:strCache>
                <c:ptCount val="1"/>
                <c:pt idx="0">
                  <c:v>FL2C3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Per_hour_RATE_Summary_figs!$B$19:$U$19</c:f>
              <c:numCache>
                <c:formatCode>0.000</c:formatCode>
                <c:ptCount val="20"/>
                <c:pt idx="0">
                  <c:v>3.4282190940801933</c:v>
                </c:pt>
                <c:pt idx="1">
                  <c:v>1.3397018989334584</c:v>
                </c:pt>
                <c:pt idx="2">
                  <c:v>0.4069410997927988</c:v>
                </c:pt>
                <c:pt idx="3">
                  <c:v>0.21569025722796528</c:v>
                </c:pt>
                <c:pt idx="4" formatCode="General">
                  <c:v>0.23980159209141208</c:v>
                </c:pt>
                <c:pt idx="5">
                  <c:v>0.25873461128695346</c:v>
                </c:pt>
                <c:pt idx="6">
                  <c:v>0.1901820822525607</c:v>
                </c:pt>
                <c:pt idx="7">
                  <c:v>0.32686427130422874</c:v>
                </c:pt>
                <c:pt idx="8">
                  <c:v>0.12791156217697838</c:v>
                </c:pt>
                <c:pt idx="9">
                  <c:v>0.10542264513487561</c:v>
                </c:pt>
                <c:pt idx="10">
                  <c:v>0.18395699808004809</c:v>
                </c:pt>
                <c:pt idx="11">
                  <c:v>0.13479309478552332</c:v>
                </c:pt>
                <c:pt idx="12">
                  <c:v>0.10368111367474979</c:v>
                </c:pt>
                <c:pt idx="13">
                  <c:v>0.11662342637026792</c:v>
                </c:pt>
                <c:pt idx="14">
                  <c:v>0.12061246026522919</c:v>
                </c:pt>
                <c:pt idx="15">
                  <c:v>0.11538309257568195</c:v>
                </c:pt>
                <c:pt idx="16">
                  <c:v>8.3430897603702828E-2</c:v>
                </c:pt>
                <c:pt idx="17">
                  <c:v>8.4001802053206509E-2</c:v>
                </c:pt>
                <c:pt idx="18">
                  <c:v>8.3123743074068931E-2</c:v>
                </c:pt>
                <c:pt idx="19">
                  <c:v>0.195213088642093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52-8D49-914A-D582D35B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3888"/>
        <c:axId val="20033760"/>
      </c:lineChart>
      <c:catAx>
        <c:axId val="1235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760"/>
        <c:crosses val="autoZero"/>
        <c:auto val="1"/>
        <c:lblAlgn val="ctr"/>
        <c:lblOffset val="100"/>
        <c:noMultiLvlLbl val="0"/>
      </c:catAx>
      <c:valAx>
        <c:axId val="200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Utqiagvik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Per_hour_RATE_Summary_figs!$A$20</c:f>
              <c:strCache>
                <c:ptCount val="1"/>
                <c:pt idx="0">
                  <c:v>BEO 1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Per_hour_RATE_Summary_figs!$B$20:$U$20</c:f>
              <c:numCache>
                <c:formatCode>0.000</c:formatCode>
                <c:ptCount val="20"/>
                <c:pt idx="0">
                  <c:v>10.780230922348215</c:v>
                </c:pt>
                <c:pt idx="1">
                  <c:v>4.9202313982888484</c:v>
                </c:pt>
                <c:pt idx="2">
                  <c:v>1.0592515803681728</c:v>
                </c:pt>
                <c:pt idx="3">
                  <c:v>0.40605941512921484</c:v>
                </c:pt>
                <c:pt idx="4" formatCode="General">
                  <c:v>0.23638803082264109</c:v>
                </c:pt>
                <c:pt idx="5">
                  <c:v>0.18146193209681574</c:v>
                </c:pt>
                <c:pt idx="6">
                  <c:v>8.4526512201004475E-2</c:v>
                </c:pt>
                <c:pt idx="7">
                  <c:v>0.17354450872122057</c:v>
                </c:pt>
                <c:pt idx="8">
                  <c:v>0.12435878285918295</c:v>
                </c:pt>
                <c:pt idx="9">
                  <c:v>0.11361401699565166</c:v>
                </c:pt>
                <c:pt idx="10">
                  <c:v>0.16435950082333767</c:v>
                </c:pt>
                <c:pt idx="11">
                  <c:v>0.26052478573265325</c:v>
                </c:pt>
                <c:pt idx="12">
                  <c:v>0.61883264795033555</c:v>
                </c:pt>
                <c:pt idx="13">
                  <c:v>0.56516691443336953</c:v>
                </c:pt>
                <c:pt idx="14">
                  <c:v>0.48918828010253962</c:v>
                </c:pt>
                <c:pt idx="15">
                  <c:v>0.49777840920109029</c:v>
                </c:pt>
                <c:pt idx="16">
                  <c:v>0.65296901361319826</c:v>
                </c:pt>
                <c:pt idx="17">
                  <c:v>0.69319949990453777</c:v>
                </c:pt>
                <c:pt idx="18">
                  <c:v>0.41820620088824118</c:v>
                </c:pt>
                <c:pt idx="19">
                  <c:v>0.38211189507091986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9-E846-B0A1-C6ADC6ADA2B0}"/>
            </c:ext>
          </c:extLst>
        </c:ser>
        <c:ser>
          <c:idx val="1"/>
          <c:order val="1"/>
          <c:tx>
            <c:strRef>
              <c:f>Per_hour_RATE_Summary_figs!$A$21</c:f>
              <c:strCache>
                <c:ptCount val="1"/>
                <c:pt idx="0">
                  <c:v>BEO 1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Per_hour_RATE_Summary_figs!$B$21:$U$21</c:f>
              <c:numCache>
                <c:formatCode>0.000</c:formatCode>
                <c:ptCount val="20"/>
                <c:pt idx="0">
                  <c:v>11.000810369318202</c:v>
                </c:pt>
                <c:pt idx="1">
                  <c:v>3.7616651360390079</c:v>
                </c:pt>
                <c:pt idx="2">
                  <c:v>0.9680682572250866</c:v>
                </c:pt>
                <c:pt idx="3">
                  <c:v>0.40331639594525126</c:v>
                </c:pt>
                <c:pt idx="4" formatCode="General">
                  <c:v>0.3589048036944405</c:v>
                </c:pt>
                <c:pt idx="5">
                  <c:v>0.20849876193947961</c:v>
                </c:pt>
                <c:pt idx="6">
                  <c:v>0.20485542352641942</c:v>
                </c:pt>
                <c:pt idx="7">
                  <c:v>0.21688933377168138</c:v>
                </c:pt>
                <c:pt idx="8">
                  <c:v>0.13335020085373034</c:v>
                </c:pt>
                <c:pt idx="9">
                  <c:v>0.11997756960327177</c:v>
                </c:pt>
                <c:pt idx="10">
                  <c:v>0.11765785737910442</c:v>
                </c:pt>
                <c:pt idx="11">
                  <c:v>0.12616622851082734</c:v>
                </c:pt>
                <c:pt idx="12">
                  <c:v>0.14168457948760019</c:v>
                </c:pt>
                <c:pt idx="13">
                  <c:v>0.63663058172363884</c:v>
                </c:pt>
                <c:pt idx="14">
                  <c:v>0.71573785595364059</c:v>
                </c:pt>
                <c:pt idx="15">
                  <c:v>0.97231654412547386</c:v>
                </c:pt>
                <c:pt idx="16">
                  <c:v>0.63818826858976252</c:v>
                </c:pt>
                <c:pt idx="17">
                  <c:v>0.4695394489512581</c:v>
                </c:pt>
                <c:pt idx="18">
                  <c:v>0.33873527149189908</c:v>
                </c:pt>
                <c:pt idx="19">
                  <c:v>0.39194806318365805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9-E846-B0A1-C6ADC6ADA2B0}"/>
            </c:ext>
          </c:extLst>
        </c:ser>
        <c:ser>
          <c:idx val="2"/>
          <c:order val="2"/>
          <c:tx>
            <c:strRef>
              <c:f>Per_hour_RATE_Summary_figs!$A$22</c:f>
              <c:strCache>
                <c:ptCount val="1"/>
                <c:pt idx="0">
                  <c:v>BEO 1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Per_hour_RATE_Summary_figs!$B$22:$U$22</c:f>
              <c:numCache>
                <c:formatCode>0.000</c:formatCode>
                <c:ptCount val="20"/>
                <c:pt idx="0">
                  <c:v>12.13628128606789</c:v>
                </c:pt>
                <c:pt idx="1">
                  <c:v>4.9099619907596939</c:v>
                </c:pt>
                <c:pt idx="2">
                  <c:v>0.83782008533841223</c:v>
                </c:pt>
                <c:pt idx="3">
                  <c:v>0.4014363274807437</c:v>
                </c:pt>
                <c:pt idx="4" formatCode="General">
                  <c:v>0.29805707676934706</c:v>
                </c:pt>
                <c:pt idx="5">
                  <c:v>0.23813984805210639</c:v>
                </c:pt>
                <c:pt idx="6">
                  <c:v>0.10297256734705437</c:v>
                </c:pt>
                <c:pt idx="7">
                  <c:v>0.18065503328537422</c:v>
                </c:pt>
                <c:pt idx="8">
                  <c:v>0.13287958540077116</c:v>
                </c:pt>
                <c:pt idx="9">
                  <c:v>0.10754098652781537</c:v>
                </c:pt>
                <c:pt idx="10">
                  <c:v>0.11710418744078835</c:v>
                </c:pt>
                <c:pt idx="11">
                  <c:v>8.8127352028207623E-2</c:v>
                </c:pt>
                <c:pt idx="12">
                  <c:v>7.8373570421635508E-2</c:v>
                </c:pt>
                <c:pt idx="13">
                  <c:v>8.1240153016754343E-2</c:v>
                </c:pt>
                <c:pt idx="14">
                  <c:v>0.10238499488729062</c:v>
                </c:pt>
                <c:pt idx="15">
                  <c:v>0.12749304611142642</c:v>
                </c:pt>
                <c:pt idx="16">
                  <c:v>0.21591693901684927</c:v>
                </c:pt>
                <c:pt idx="17">
                  <c:v>0.4018368228193705</c:v>
                </c:pt>
                <c:pt idx="18">
                  <c:v>0.58026971169975172</c:v>
                </c:pt>
                <c:pt idx="19">
                  <c:v>0.54943244901900701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9-E846-B0A1-C6ADC6ADA2B0}"/>
            </c:ext>
          </c:extLst>
        </c:ser>
        <c:ser>
          <c:idx val="3"/>
          <c:order val="3"/>
          <c:tx>
            <c:strRef>
              <c:f>Per_hour_RATE_Summary_figs!$A$23</c:f>
              <c:strCache>
                <c:ptCount val="1"/>
                <c:pt idx="0">
                  <c:v>BEO 1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Per_hour_RATE_Summary_figs!$B$23:$U$23</c:f>
              <c:numCache>
                <c:formatCode>0.000</c:formatCode>
                <c:ptCount val="20"/>
                <c:pt idx="0">
                  <c:v>11.805498087659366</c:v>
                </c:pt>
                <c:pt idx="1">
                  <c:v>4.8493940463332104</c:v>
                </c:pt>
                <c:pt idx="2">
                  <c:v>1.1578947620143616</c:v>
                </c:pt>
                <c:pt idx="3">
                  <c:v>0.42490002252987541</c:v>
                </c:pt>
                <c:pt idx="4" formatCode="General">
                  <c:v>0.36984366318703937</c:v>
                </c:pt>
                <c:pt idx="5">
                  <c:v>0.25649767930856604</c:v>
                </c:pt>
                <c:pt idx="6">
                  <c:v>0.11000687013799736</c:v>
                </c:pt>
                <c:pt idx="7">
                  <c:v>0.2417920845193971</c:v>
                </c:pt>
                <c:pt idx="8">
                  <c:v>0.15032405664327567</c:v>
                </c:pt>
                <c:pt idx="9">
                  <c:v>0.13849890572602766</c:v>
                </c:pt>
                <c:pt idx="10">
                  <c:v>0.14640971834679281</c:v>
                </c:pt>
                <c:pt idx="11">
                  <c:v>0.10990837539237047</c:v>
                </c:pt>
                <c:pt idx="12">
                  <c:v>8.8411633323557892E-2</c:v>
                </c:pt>
                <c:pt idx="13">
                  <c:v>9.548447664223049E-2</c:v>
                </c:pt>
                <c:pt idx="14">
                  <c:v>0.11563348805787116</c:v>
                </c:pt>
                <c:pt idx="15">
                  <c:v>0.16510781781235934</c:v>
                </c:pt>
                <c:pt idx="16">
                  <c:v>0.29769087934387156</c:v>
                </c:pt>
                <c:pt idx="17">
                  <c:v>0.37606569410223262</c:v>
                </c:pt>
                <c:pt idx="18">
                  <c:v>0.5666578299205165</c:v>
                </c:pt>
                <c:pt idx="19">
                  <c:v>0.52568274895881217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9-E846-B0A1-C6ADC6ADA2B0}"/>
            </c:ext>
          </c:extLst>
        </c:ser>
        <c:ser>
          <c:idx val="4"/>
          <c:order val="4"/>
          <c:tx>
            <c:strRef>
              <c:f>Per_hour_RATE_Summary_figs!$A$24</c:f>
              <c:strCache>
                <c:ptCount val="1"/>
                <c:pt idx="0">
                  <c:v>BEO 2B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Per_hour_RATE_Summary_figs!$B$24:$U$24</c:f>
              <c:numCache>
                <c:formatCode>0.000</c:formatCode>
                <c:ptCount val="20"/>
                <c:pt idx="0">
                  <c:v>10.750093419464964</c:v>
                </c:pt>
                <c:pt idx="1">
                  <c:v>3.1802239267081776</c:v>
                </c:pt>
                <c:pt idx="2">
                  <c:v>0.70992554643621009</c:v>
                </c:pt>
                <c:pt idx="3">
                  <c:v>0.30565187308710967</c:v>
                </c:pt>
                <c:pt idx="4" formatCode="General">
                  <c:v>0.27981698397259719</c:v>
                </c:pt>
                <c:pt idx="5">
                  <c:v>0.18584548897026187</c:v>
                </c:pt>
                <c:pt idx="6">
                  <c:v>0.12197550933374526</c:v>
                </c:pt>
                <c:pt idx="7">
                  <c:v>0.24760896058128648</c:v>
                </c:pt>
                <c:pt idx="8">
                  <c:v>0.11097273412968625</c:v>
                </c:pt>
                <c:pt idx="9">
                  <c:v>9.9717406910329154E-2</c:v>
                </c:pt>
                <c:pt idx="10">
                  <c:v>0.24698137395305655</c:v>
                </c:pt>
                <c:pt idx="11">
                  <c:v>0.16868122817716366</c:v>
                </c:pt>
                <c:pt idx="12">
                  <c:v>0.11654497852264464</c:v>
                </c:pt>
                <c:pt idx="13">
                  <c:v>9.7834402850426036E-2</c:v>
                </c:pt>
                <c:pt idx="14">
                  <c:v>0.10483560167354224</c:v>
                </c:pt>
                <c:pt idx="15">
                  <c:v>0.10934247916743561</c:v>
                </c:pt>
                <c:pt idx="16">
                  <c:v>7.4181344403268221E-2</c:v>
                </c:pt>
                <c:pt idx="17">
                  <c:v>7.7732745907731951E-2</c:v>
                </c:pt>
                <c:pt idx="18">
                  <c:v>7.8938102995556453E-2</c:v>
                </c:pt>
                <c:pt idx="19">
                  <c:v>0.16551494239584469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9-E846-B0A1-C6ADC6ADA2B0}"/>
            </c:ext>
          </c:extLst>
        </c:ser>
        <c:ser>
          <c:idx val="5"/>
          <c:order val="5"/>
          <c:tx>
            <c:strRef>
              <c:f>Per_hour_RATE_Summary_figs!$A$25</c:f>
              <c:strCache>
                <c:ptCount val="1"/>
                <c:pt idx="0">
                  <c:v>BEO 2B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Per_hour_RATE_Summary_figs!$B$25:$U$25</c:f>
              <c:numCache>
                <c:formatCode>0.000</c:formatCode>
                <c:ptCount val="20"/>
                <c:pt idx="0">
                  <c:v>13.4342459540226</c:v>
                </c:pt>
                <c:pt idx="1">
                  <c:v>4.5524418200562939</c:v>
                </c:pt>
                <c:pt idx="2">
                  <c:v>0.8885063861438216</c:v>
                </c:pt>
                <c:pt idx="3">
                  <c:v>0.30307246337457933</c:v>
                </c:pt>
                <c:pt idx="4" formatCode="General">
                  <c:v>0.3160605803877175</c:v>
                </c:pt>
                <c:pt idx="5">
                  <c:v>0.21782837750989389</c:v>
                </c:pt>
                <c:pt idx="6">
                  <c:v>0.1304031523906406</c:v>
                </c:pt>
                <c:pt idx="7">
                  <c:v>0.28449063779918971</c:v>
                </c:pt>
                <c:pt idx="8">
                  <c:v>0.15352714409071816</c:v>
                </c:pt>
                <c:pt idx="9">
                  <c:v>0.18364783810963478</c:v>
                </c:pt>
                <c:pt idx="10">
                  <c:v>0.41800309520629692</c:v>
                </c:pt>
                <c:pt idx="11">
                  <c:v>0.30887861196210709</c:v>
                </c:pt>
                <c:pt idx="12">
                  <c:v>0.14414889669929895</c:v>
                </c:pt>
                <c:pt idx="13">
                  <c:v>0.14728358310713449</c:v>
                </c:pt>
                <c:pt idx="14">
                  <c:v>0.13664885429690332</c:v>
                </c:pt>
                <c:pt idx="15">
                  <c:v>0.1289799140182524</c:v>
                </c:pt>
                <c:pt idx="16">
                  <c:v>0.12240917509370615</c:v>
                </c:pt>
                <c:pt idx="17">
                  <c:v>0.11267739505939735</c:v>
                </c:pt>
                <c:pt idx="18">
                  <c:v>0.10743248718332118</c:v>
                </c:pt>
                <c:pt idx="19">
                  <c:v>0.21741445682375507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99-E846-B0A1-C6ADC6ADA2B0}"/>
            </c:ext>
          </c:extLst>
        </c:ser>
        <c:ser>
          <c:idx val="6"/>
          <c:order val="6"/>
          <c:tx>
            <c:strRef>
              <c:f>Per_hour_RATE_Summary_figs!$A$26</c:f>
              <c:strCache>
                <c:ptCount val="1"/>
                <c:pt idx="0">
                  <c:v>BEO 2B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Per_hour_RATE_Summary_figs!$B$26:$U$26</c:f>
              <c:numCache>
                <c:formatCode>0.000</c:formatCode>
                <c:ptCount val="20"/>
                <c:pt idx="0">
                  <c:v>9.0160941105762102</c:v>
                </c:pt>
                <c:pt idx="1">
                  <c:v>3.4508388565767705</c:v>
                </c:pt>
                <c:pt idx="2">
                  <c:v>0.74021146669444082</c:v>
                </c:pt>
                <c:pt idx="3">
                  <c:v>0.29728985325375973</c:v>
                </c:pt>
                <c:pt idx="4" formatCode="General">
                  <c:v>0.28353281681951753</c:v>
                </c:pt>
                <c:pt idx="5">
                  <c:v>0.19311664829497191</c:v>
                </c:pt>
                <c:pt idx="6">
                  <c:v>0.13405131097900169</c:v>
                </c:pt>
                <c:pt idx="7">
                  <c:v>0.24561498190729719</c:v>
                </c:pt>
                <c:pt idx="8">
                  <c:v>0.11076354884788009</c:v>
                </c:pt>
                <c:pt idx="9">
                  <c:v>0.10305215686222075</c:v>
                </c:pt>
                <c:pt idx="10">
                  <c:v>0.21667623654009102</c:v>
                </c:pt>
                <c:pt idx="11">
                  <c:v>0.14357040640433669</c:v>
                </c:pt>
                <c:pt idx="12">
                  <c:v>7.8334244644281084E-2</c:v>
                </c:pt>
                <c:pt idx="13">
                  <c:v>8.9764028799996481E-2</c:v>
                </c:pt>
                <c:pt idx="14">
                  <c:v>8.6751641533815357E-2</c:v>
                </c:pt>
                <c:pt idx="15">
                  <c:v>9.1400179165634504E-2</c:v>
                </c:pt>
                <c:pt idx="16">
                  <c:v>6.1795649829907214E-2</c:v>
                </c:pt>
                <c:pt idx="17">
                  <c:v>6.1719514384553024E-2</c:v>
                </c:pt>
                <c:pt idx="18">
                  <c:v>6.3075792107482265E-2</c:v>
                </c:pt>
                <c:pt idx="19">
                  <c:v>0.14754942523458989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99-E846-B0A1-C6ADC6ADA2B0}"/>
            </c:ext>
          </c:extLst>
        </c:ser>
        <c:ser>
          <c:idx val="7"/>
          <c:order val="7"/>
          <c:tx>
            <c:strRef>
              <c:f>Per_hour_RATE_Summary_figs!$A$27</c:f>
              <c:strCache>
                <c:ptCount val="1"/>
                <c:pt idx="0">
                  <c:v>BEO 2B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Per_hour_RATE_Summary_figs!$B$27:$U$27</c:f>
              <c:numCache>
                <c:formatCode>0.000</c:formatCode>
                <c:ptCount val="20"/>
                <c:pt idx="0">
                  <c:v>21.848545228770011</c:v>
                </c:pt>
                <c:pt idx="1">
                  <c:v>4.936892502501725</c:v>
                </c:pt>
                <c:pt idx="2">
                  <c:v>0.80911406756683568</c:v>
                </c:pt>
                <c:pt idx="3">
                  <c:v>0.30252193027719526</c:v>
                </c:pt>
                <c:pt idx="4" formatCode="General">
                  <c:v>0.24641444587312145</c:v>
                </c:pt>
                <c:pt idx="5">
                  <c:v>0.15638352149072102</c:v>
                </c:pt>
                <c:pt idx="6">
                  <c:v>6.0580998272814539E-2</c:v>
                </c:pt>
                <c:pt idx="7">
                  <c:v>0.14355591480602628</c:v>
                </c:pt>
                <c:pt idx="8">
                  <c:v>8.2344528029620251E-2</c:v>
                </c:pt>
                <c:pt idx="9">
                  <c:v>0.20591833753119784</c:v>
                </c:pt>
                <c:pt idx="10">
                  <c:v>0.44902661941602745</c:v>
                </c:pt>
                <c:pt idx="11">
                  <c:v>0.46601735969267666</c:v>
                </c:pt>
                <c:pt idx="12">
                  <c:v>0.33462229497942547</c:v>
                </c:pt>
                <c:pt idx="13">
                  <c:v>0.25845631432936184</c:v>
                </c:pt>
                <c:pt idx="14">
                  <c:v>0.22143652191852603</c:v>
                </c:pt>
                <c:pt idx="15">
                  <c:v>0.21773281411444312</c:v>
                </c:pt>
                <c:pt idx="16">
                  <c:v>0.2197533944661558</c:v>
                </c:pt>
                <c:pt idx="17">
                  <c:v>0.20275726860415033</c:v>
                </c:pt>
                <c:pt idx="18">
                  <c:v>0.20414035290565727</c:v>
                </c:pt>
                <c:pt idx="19">
                  <c:v>0.20791659292149245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99-E846-B0A1-C6ADC6AD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264"/>
        <c:axId val="11611184"/>
      </c:lineChart>
      <c:catAx>
        <c:axId val="116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184"/>
        <c:crosses val="autoZero"/>
        <c:auto val="1"/>
        <c:lblAlgn val="ctr"/>
        <c:lblOffset val="100"/>
        <c:noMultiLvlLbl val="0"/>
      </c:catAx>
      <c:valAx>
        <c:axId val="116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 Core AT3 Cumulative Respiration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02970327193181E-2"/>
          <c:y val="9.3623096857140431E-2"/>
          <c:w val="0.8794241192310176"/>
          <c:h val="0.63022250416105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E-7641-A175-068ECE8996F7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E-7641-A175-068ECE8996F7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9E-7641-A175-068ECE8996F7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9E-7641-A175-068ECE8996F7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9E-7641-A175-068ECE89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380352"/>
        <c:axId val="1499382080"/>
      </c:scatterChart>
      <c:valAx>
        <c:axId val="14993803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2080"/>
        <c:crosses val="autoZero"/>
        <c:crossBetween val="midCat"/>
      </c:valAx>
      <c:valAx>
        <c:axId val="14993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C-CO2 rate (ug-C-CO2/g dry soil)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</a:t>
            </a:r>
            <a:r>
              <a:rPr lang="en-US" baseline="0"/>
              <a:t> Cores AT3 and AT4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9-9046-B1E7-2A1401660880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9-9046-B1E7-2A1401660880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9-9046-B1E7-2A1401660880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9-9046-B1E7-2A1401660880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9-9046-B1E7-2A1401660880}"/>
            </c:ext>
          </c:extLst>
        </c:ser>
        <c:ser>
          <c:idx val="5"/>
          <c:order val="5"/>
          <c:tx>
            <c:strRef>
              <c:f>Cumulative_rate_figures!$A$7</c:f>
              <c:strCache>
                <c:ptCount val="1"/>
                <c:pt idx="0">
                  <c:v>AT 4 REP 5 H2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Cumulative_rate_figures!$B$7:$U$7</c:f>
              <c:numCache>
                <c:formatCode>General</c:formatCode>
                <c:ptCount val="20"/>
                <c:pt idx="0">
                  <c:v>1.373892636434062</c:v>
                </c:pt>
                <c:pt idx="1">
                  <c:v>7.3453950926347353</c:v>
                </c:pt>
                <c:pt idx="2">
                  <c:v>10.387421480730477</c:v>
                </c:pt>
                <c:pt idx="3">
                  <c:v>12.300603151574943</c:v>
                </c:pt>
                <c:pt idx="4">
                  <c:v>13.542333314130005</c:v>
                </c:pt>
                <c:pt idx="5">
                  <c:v>15.158740172040822</c:v>
                </c:pt>
                <c:pt idx="6">
                  <c:v>16.123946764865718</c:v>
                </c:pt>
                <c:pt idx="7">
                  <c:v>17.20772150241698</c:v>
                </c:pt>
                <c:pt idx="8">
                  <c:v>20.923896925800392</c:v>
                </c:pt>
                <c:pt idx="9">
                  <c:v>32.240486095106874</c:v>
                </c:pt>
                <c:pt idx="10">
                  <c:v>43.014496497826372</c:v>
                </c:pt>
                <c:pt idx="11">
                  <c:v>61.810283768156275</c:v>
                </c:pt>
                <c:pt idx="12">
                  <c:v>86.27383417182881</c:v>
                </c:pt>
                <c:pt idx="13">
                  <c:v>98.371698534918096</c:v>
                </c:pt>
                <c:pt idx="14">
                  <c:v>108.71757003676447</c:v>
                </c:pt>
                <c:pt idx="15">
                  <c:v>114.55129714147829</c:v>
                </c:pt>
                <c:pt idx="16">
                  <c:v>121.39472761130897</c:v>
                </c:pt>
                <c:pt idx="17">
                  <c:v>128.18987918498107</c:v>
                </c:pt>
                <c:pt idx="18">
                  <c:v>135.77853637468269</c:v>
                </c:pt>
                <c:pt idx="19">
                  <c:v>139.74007980789909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9-9046-B1E7-2A1401660880}"/>
            </c:ext>
          </c:extLst>
        </c:ser>
        <c:ser>
          <c:idx val="6"/>
          <c:order val="6"/>
          <c:tx>
            <c:strRef>
              <c:f>Cumulative_rate_figures!$A$8</c:f>
              <c:strCache>
                <c:ptCount val="1"/>
                <c:pt idx="0">
                  <c:v>AT 4 REP 6 H2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Cumulative_rate_figures!$B$8:$U$8</c:f>
              <c:numCache>
                <c:formatCode>General</c:formatCode>
                <c:ptCount val="20"/>
                <c:pt idx="0">
                  <c:v>1.8643191440823859</c:v>
                </c:pt>
                <c:pt idx="1">
                  <c:v>8.8359758622797795</c:v>
                </c:pt>
                <c:pt idx="2">
                  <c:v>13.026298404680263</c:v>
                </c:pt>
                <c:pt idx="3">
                  <c:v>15.53486734662677</c:v>
                </c:pt>
                <c:pt idx="4">
                  <c:v>17.580492095504049</c:v>
                </c:pt>
                <c:pt idx="5">
                  <c:v>19.2658369246452</c:v>
                </c:pt>
                <c:pt idx="6">
                  <c:v>20.38356402759813</c:v>
                </c:pt>
                <c:pt idx="7">
                  <c:v>21.465946200412898</c:v>
                </c:pt>
                <c:pt idx="8">
                  <c:v>23.56857960389295</c:v>
                </c:pt>
                <c:pt idx="9">
                  <c:v>29.05600203565244</c:v>
                </c:pt>
                <c:pt idx="10">
                  <c:v>36.946170822911746</c:v>
                </c:pt>
                <c:pt idx="11">
                  <c:v>53.275293004290077</c:v>
                </c:pt>
                <c:pt idx="12">
                  <c:v>72.747558345824302</c:v>
                </c:pt>
                <c:pt idx="13">
                  <c:v>85.216315887964342</c:v>
                </c:pt>
                <c:pt idx="14">
                  <c:v>92.507988761244292</c:v>
                </c:pt>
                <c:pt idx="15">
                  <c:v>98.834509781393578</c:v>
                </c:pt>
                <c:pt idx="16">
                  <c:v>105.09839109979612</c:v>
                </c:pt>
                <c:pt idx="17">
                  <c:v>111.96006383202077</c:v>
                </c:pt>
                <c:pt idx="18">
                  <c:v>118.19539219909781</c:v>
                </c:pt>
                <c:pt idx="19">
                  <c:v>121.39185758874287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9-9046-B1E7-2A1401660880}"/>
            </c:ext>
          </c:extLst>
        </c:ser>
        <c:ser>
          <c:idx val="7"/>
          <c:order val="7"/>
          <c:tx>
            <c:strRef>
              <c:f>Cumulative_rate_figures!$A$9</c:f>
              <c:strCache>
                <c:ptCount val="1"/>
                <c:pt idx="0">
                  <c:v>AT 4 REP 7 H2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Cumulative_rate_figures!$B$9:$U$9</c:f>
              <c:numCache>
                <c:formatCode>General</c:formatCode>
                <c:ptCount val="20"/>
                <c:pt idx="0">
                  <c:v>1.8095200960047704</c:v>
                </c:pt>
                <c:pt idx="1">
                  <c:v>8.0949809612075114</c:v>
                </c:pt>
                <c:pt idx="2">
                  <c:v>11.970757952784744</c:v>
                </c:pt>
                <c:pt idx="3">
                  <c:v>14.825476391452558</c:v>
                </c:pt>
                <c:pt idx="4">
                  <c:v>16.329097679656368</c:v>
                </c:pt>
                <c:pt idx="5">
                  <c:v>17.995182385685567</c:v>
                </c:pt>
                <c:pt idx="6">
                  <c:v>19.087318736102468</c:v>
                </c:pt>
                <c:pt idx="7">
                  <c:v>20.230119996327161</c:v>
                </c:pt>
                <c:pt idx="8">
                  <c:v>23.466127119596962</c:v>
                </c:pt>
                <c:pt idx="9">
                  <c:v>32.635039748993314</c:v>
                </c:pt>
                <c:pt idx="10">
                  <c:v>42.65415936527333</c:v>
                </c:pt>
                <c:pt idx="11">
                  <c:v>59.917633542895601</c:v>
                </c:pt>
                <c:pt idx="12">
                  <c:v>76.1224365545701</c:v>
                </c:pt>
                <c:pt idx="13">
                  <c:v>84.966503338724067</c:v>
                </c:pt>
                <c:pt idx="14">
                  <c:v>90.833090464857634</c:v>
                </c:pt>
                <c:pt idx="15">
                  <c:v>94.800246600543048</c:v>
                </c:pt>
                <c:pt idx="16">
                  <c:v>99.250758859777918</c:v>
                </c:pt>
                <c:pt idx="17">
                  <c:v>103.72721880778624</c:v>
                </c:pt>
                <c:pt idx="18">
                  <c:v>108.53920303824835</c:v>
                </c:pt>
                <c:pt idx="19">
                  <c:v>110.6892515413398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79-9046-B1E7-2A1401660880}"/>
            </c:ext>
          </c:extLst>
        </c:ser>
        <c:ser>
          <c:idx val="8"/>
          <c:order val="8"/>
          <c:tx>
            <c:strRef>
              <c:f>Cumulative_rate_figures!$A$10</c:f>
              <c:strCache>
                <c:ptCount val="1"/>
                <c:pt idx="0">
                  <c:v>AT 4 REP 8 H2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Cumulative_rate_figures!$B$10:$U$10</c:f>
              <c:numCache>
                <c:formatCode>General</c:formatCode>
                <c:ptCount val="20"/>
                <c:pt idx="0">
                  <c:v>2.3287539885975801</c:v>
                </c:pt>
                <c:pt idx="1">
                  <c:v>11.292294923710575</c:v>
                </c:pt>
                <c:pt idx="2">
                  <c:v>15.258639826189354</c:v>
                </c:pt>
                <c:pt idx="3">
                  <c:v>17.504422271767673</c:v>
                </c:pt>
                <c:pt idx="4">
                  <c:v>19.566139549614395</c:v>
                </c:pt>
                <c:pt idx="5">
                  <c:v>21.246079511948501</c:v>
                </c:pt>
                <c:pt idx="6">
                  <c:v>21.980853289069817</c:v>
                </c:pt>
                <c:pt idx="7">
                  <c:v>23.176502338392623</c:v>
                </c:pt>
                <c:pt idx="8">
                  <c:v>25.082040041362323</c:v>
                </c:pt>
                <c:pt idx="9">
                  <c:v>31.985820691853093</c:v>
                </c:pt>
                <c:pt idx="10">
                  <c:v>40.545607213523603</c:v>
                </c:pt>
                <c:pt idx="11">
                  <c:v>57.896398142236251</c:v>
                </c:pt>
                <c:pt idx="12">
                  <c:v>77.919420349650807</c:v>
                </c:pt>
                <c:pt idx="13">
                  <c:v>88.631478971569379</c:v>
                </c:pt>
                <c:pt idx="14">
                  <c:v>95.801790569247572</c:v>
                </c:pt>
                <c:pt idx="15">
                  <c:v>100.94985864592722</c:v>
                </c:pt>
                <c:pt idx="16">
                  <c:v>105.95017851601712</c:v>
                </c:pt>
                <c:pt idx="17">
                  <c:v>110.46162626060317</c:v>
                </c:pt>
                <c:pt idx="18">
                  <c:v>114.58518708516372</c:v>
                </c:pt>
                <c:pt idx="19">
                  <c:v>117.12140865926288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79-9046-B1E7-2A1401660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19423"/>
        <c:axId val="1619555120"/>
      </c:scatterChart>
      <c:valAx>
        <c:axId val="3987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55120"/>
        <c:crosses val="autoZero"/>
        <c:crossBetween val="midCat"/>
      </c:valAx>
      <c:valAx>
        <c:axId val="1619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19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A9-254F-BE41-D8E80680D023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A9-254F-BE41-D8E80680D023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A9-254F-BE41-D8E80680D023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A9-254F-BE41-D8E80680D023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A9-254F-BE41-D8E80680D023}"/>
            </c:ext>
          </c:extLst>
        </c:ser>
        <c:ser>
          <c:idx val="5"/>
          <c:order val="5"/>
          <c:tx>
            <c:strRef>
              <c:f>Cumulative_rate_figures!$A$7</c:f>
              <c:strCache>
                <c:ptCount val="1"/>
                <c:pt idx="0">
                  <c:v>AT 4 REP 5 H2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Cumulative_rate_figures!$B$7:$U$7</c:f>
              <c:numCache>
                <c:formatCode>General</c:formatCode>
                <c:ptCount val="20"/>
                <c:pt idx="0">
                  <c:v>1.373892636434062</c:v>
                </c:pt>
                <c:pt idx="1">
                  <c:v>7.3453950926347353</c:v>
                </c:pt>
                <c:pt idx="2">
                  <c:v>10.387421480730477</c:v>
                </c:pt>
                <c:pt idx="3">
                  <c:v>12.300603151574943</c:v>
                </c:pt>
                <c:pt idx="4">
                  <c:v>13.542333314130005</c:v>
                </c:pt>
                <c:pt idx="5">
                  <c:v>15.158740172040822</c:v>
                </c:pt>
                <c:pt idx="6">
                  <c:v>16.123946764865718</c:v>
                </c:pt>
                <c:pt idx="7">
                  <c:v>17.20772150241698</c:v>
                </c:pt>
                <c:pt idx="8">
                  <c:v>20.923896925800392</c:v>
                </c:pt>
                <c:pt idx="9">
                  <c:v>32.240486095106874</c:v>
                </c:pt>
                <c:pt idx="10">
                  <c:v>43.014496497826372</c:v>
                </c:pt>
                <c:pt idx="11">
                  <c:v>61.810283768156275</c:v>
                </c:pt>
                <c:pt idx="12">
                  <c:v>86.27383417182881</c:v>
                </c:pt>
                <c:pt idx="13">
                  <c:v>98.371698534918096</c:v>
                </c:pt>
                <c:pt idx="14">
                  <c:v>108.71757003676447</c:v>
                </c:pt>
                <c:pt idx="15">
                  <c:v>114.55129714147829</c:v>
                </c:pt>
                <c:pt idx="16">
                  <c:v>121.39472761130897</c:v>
                </c:pt>
                <c:pt idx="17">
                  <c:v>128.18987918498107</c:v>
                </c:pt>
                <c:pt idx="18">
                  <c:v>135.77853637468269</c:v>
                </c:pt>
                <c:pt idx="19">
                  <c:v>139.74007980789909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A9-254F-BE41-D8E80680D023}"/>
            </c:ext>
          </c:extLst>
        </c:ser>
        <c:ser>
          <c:idx val="6"/>
          <c:order val="6"/>
          <c:tx>
            <c:strRef>
              <c:f>Cumulative_rate_figures!$A$8</c:f>
              <c:strCache>
                <c:ptCount val="1"/>
                <c:pt idx="0">
                  <c:v>AT 4 REP 6 H2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Cumulative_rate_figures!$B$8:$U$8</c:f>
              <c:numCache>
                <c:formatCode>General</c:formatCode>
                <c:ptCount val="20"/>
                <c:pt idx="0">
                  <c:v>1.8643191440823859</c:v>
                </c:pt>
                <c:pt idx="1">
                  <c:v>8.8359758622797795</c:v>
                </c:pt>
                <c:pt idx="2">
                  <c:v>13.026298404680263</c:v>
                </c:pt>
                <c:pt idx="3">
                  <c:v>15.53486734662677</c:v>
                </c:pt>
                <c:pt idx="4">
                  <c:v>17.580492095504049</c:v>
                </c:pt>
                <c:pt idx="5">
                  <c:v>19.2658369246452</c:v>
                </c:pt>
                <c:pt idx="6">
                  <c:v>20.38356402759813</c:v>
                </c:pt>
                <c:pt idx="7">
                  <c:v>21.465946200412898</c:v>
                </c:pt>
                <c:pt idx="8">
                  <c:v>23.56857960389295</c:v>
                </c:pt>
                <c:pt idx="9">
                  <c:v>29.05600203565244</c:v>
                </c:pt>
                <c:pt idx="10">
                  <c:v>36.946170822911746</c:v>
                </c:pt>
                <c:pt idx="11">
                  <c:v>53.275293004290077</c:v>
                </c:pt>
                <c:pt idx="12">
                  <c:v>72.747558345824302</c:v>
                </c:pt>
                <c:pt idx="13">
                  <c:v>85.216315887964342</c:v>
                </c:pt>
                <c:pt idx="14">
                  <c:v>92.507988761244292</c:v>
                </c:pt>
                <c:pt idx="15">
                  <c:v>98.834509781393578</c:v>
                </c:pt>
                <c:pt idx="16">
                  <c:v>105.09839109979612</c:v>
                </c:pt>
                <c:pt idx="17">
                  <c:v>111.96006383202077</c:v>
                </c:pt>
                <c:pt idx="18">
                  <c:v>118.19539219909781</c:v>
                </c:pt>
                <c:pt idx="19">
                  <c:v>121.39185758874287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A9-254F-BE41-D8E80680D023}"/>
            </c:ext>
          </c:extLst>
        </c:ser>
        <c:ser>
          <c:idx val="7"/>
          <c:order val="7"/>
          <c:tx>
            <c:strRef>
              <c:f>Cumulative_rate_figures!$A$9</c:f>
              <c:strCache>
                <c:ptCount val="1"/>
                <c:pt idx="0">
                  <c:v>AT 4 REP 7 H2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Cumulative_rate_figures!$B$9:$U$9</c:f>
              <c:numCache>
                <c:formatCode>General</c:formatCode>
                <c:ptCount val="20"/>
                <c:pt idx="0">
                  <c:v>1.8095200960047704</c:v>
                </c:pt>
                <c:pt idx="1">
                  <c:v>8.0949809612075114</c:v>
                </c:pt>
                <c:pt idx="2">
                  <c:v>11.970757952784744</c:v>
                </c:pt>
                <c:pt idx="3">
                  <c:v>14.825476391452558</c:v>
                </c:pt>
                <c:pt idx="4">
                  <c:v>16.329097679656368</c:v>
                </c:pt>
                <c:pt idx="5">
                  <c:v>17.995182385685567</c:v>
                </c:pt>
                <c:pt idx="6">
                  <c:v>19.087318736102468</c:v>
                </c:pt>
                <c:pt idx="7">
                  <c:v>20.230119996327161</c:v>
                </c:pt>
                <c:pt idx="8">
                  <c:v>23.466127119596962</c:v>
                </c:pt>
                <c:pt idx="9">
                  <c:v>32.635039748993314</c:v>
                </c:pt>
                <c:pt idx="10">
                  <c:v>42.65415936527333</c:v>
                </c:pt>
                <c:pt idx="11">
                  <c:v>59.917633542895601</c:v>
                </c:pt>
                <c:pt idx="12">
                  <c:v>76.1224365545701</c:v>
                </c:pt>
                <c:pt idx="13">
                  <c:v>84.966503338724067</c:v>
                </c:pt>
                <c:pt idx="14">
                  <c:v>90.833090464857634</c:v>
                </c:pt>
                <c:pt idx="15">
                  <c:v>94.800246600543048</c:v>
                </c:pt>
                <c:pt idx="16">
                  <c:v>99.250758859777918</c:v>
                </c:pt>
                <c:pt idx="17">
                  <c:v>103.72721880778624</c:v>
                </c:pt>
                <c:pt idx="18">
                  <c:v>108.53920303824835</c:v>
                </c:pt>
                <c:pt idx="19">
                  <c:v>110.6892515413398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A9-254F-BE41-D8E80680D023}"/>
            </c:ext>
          </c:extLst>
        </c:ser>
        <c:ser>
          <c:idx val="8"/>
          <c:order val="8"/>
          <c:tx>
            <c:strRef>
              <c:f>Cumulative_rate_figures!$A$10</c:f>
              <c:strCache>
                <c:ptCount val="1"/>
                <c:pt idx="0">
                  <c:v>AT 4 REP 8 H2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Cumulative_rate_figures!$B$10:$U$10</c:f>
              <c:numCache>
                <c:formatCode>General</c:formatCode>
                <c:ptCount val="20"/>
                <c:pt idx="0">
                  <c:v>2.3287539885975801</c:v>
                </c:pt>
                <c:pt idx="1">
                  <c:v>11.292294923710575</c:v>
                </c:pt>
                <c:pt idx="2">
                  <c:v>15.258639826189354</c:v>
                </c:pt>
                <c:pt idx="3">
                  <c:v>17.504422271767673</c:v>
                </c:pt>
                <c:pt idx="4">
                  <c:v>19.566139549614395</c:v>
                </c:pt>
                <c:pt idx="5">
                  <c:v>21.246079511948501</c:v>
                </c:pt>
                <c:pt idx="6">
                  <c:v>21.980853289069817</c:v>
                </c:pt>
                <c:pt idx="7">
                  <c:v>23.176502338392623</c:v>
                </c:pt>
                <c:pt idx="8">
                  <c:v>25.082040041362323</c:v>
                </c:pt>
                <c:pt idx="9">
                  <c:v>31.985820691853093</c:v>
                </c:pt>
                <c:pt idx="10">
                  <c:v>40.545607213523603</c:v>
                </c:pt>
                <c:pt idx="11">
                  <c:v>57.896398142236251</c:v>
                </c:pt>
                <c:pt idx="12">
                  <c:v>77.919420349650807</c:v>
                </c:pt>
                <c:pt idx="13">
                  <c:v>88.631478971569379</c:v>
                </c:pt>
                <c:pt idx="14">
                  <c:v>95.801790569247572</c:v>
                </c:pt>
                <c:pt idx="15">
                  <c:v>100.94985864592722</c:v>
                </c:pt>
                <c:pt idx="16">
                  <c:v>105.95017851601712</c:v>
                </c:pt>
                <c:pt idx="17">
                  <c:v>110.46162626060317</c:v>
                </c:pt>
                <c:pt idx="18">
                  <c:v>114.58518708516372</c:v>
                </c:pt>
                <c:pt idx="19">
                  <c:v>117.12140865926288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A9-254F-BE41-D8E80680D023}"/>
            </c:ext>
          </c:extLst>
        </c:ser>
        <c:ser>
          <c:idx val="9"/>
          <c:order val="9"/>
          <c:tx>
            <c:strRef>
              <c:f>Cumulative_rate_figures!$A$11</c:f>
              <c:strCache>
                <c:ptCount val="1"/>
                <c:pt idx="0">
                  <c:v>FL1C4 REP 5 H2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Cumulative_rate_figures!$B$11:$U$11</c:f>
              <c:numCache>
                <c:formatCode>General</c:formatCode>
                <c:ptCount val="20"/>
                <c:pt idx="0">
                  <c:v>4.281243334911915</c:v>
                </c:pt>
                <c:pt idx="1">
                  <c:v>31.838582537783026</c:v>
                </c:pt>
                <c:pt idx="2">
                  <c:v>62.921366970353262</c:v>
                </c:pt>
                <c:pt idx="3">
                  <c:v>94.533595264108783</c:v>
                </c:pt>
                <c:pt idx="4">
                  <c:v>123.98420578032868</c:v>
                </c:pt>
                <c:pt idx="5">
                  <c:v>210.85266249805898</c:v>
                </c:pt>
                <c:pt idx="6">
                  <c:v>259.93841212844166</c:v>
                </c:pt>
                <c:pt idx="7">
                  <c:v>304.64218153848822</c:v>
                </c:pt>
                <c:pt idx="8">
                  <c:v>606.3407144912635</c:v>
                </c:pt>
                <c:pt idx="9">
                  <c:v>788.86883460609351</c:v>
                </c:pt>
                <c:pt idx="10">
                  <c:v>848.74896413465899</c:v>
                </c:pt>
                <c:pt idx="11">
                  <c:v>903.91300094527821</c:v>
                </c:pt>
                <c:pt idx="12">
                  <c:v>974.88428788050919</c:v>
                </c:pt>
                <c:pt idx="13">
                  <c:v>1035.3013429942216</c:v>
                </c:pt>
                <c:pt idx="14">
                  <c:v>1113.6494448125009</c:v>
                </c:pt>
                <c:pt idx="15">
                  <c:v>1193.3185793609327</c:v>
                </c:pt>
                <c:pt idx="16">
                  <c:v>1276.7262263218786</c:v>
                </c:pt>
                <c:pt idx="17">
                  <c:v>1346.9038626499987</c:v>
                </c:pt>
                <c:pt idx="18">
                  <c:v>1409.8675118687911</c:v>
                </c:pt>
                <c:pt idx="19">
                  <c:v>1442.5265746141533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8A9-254F-BE41-D8E80680D023}"/>
            </c:ext>
          </c:extLst>
        </c:ser>
        <c:ser>
          <c:idx val="10"/>
          <c:order val="10"/>
          <c:tx>
            <c:strRef>
              <c:f>Cumulative_rate_figures!$A$12</c:f>
              <c:strCache>
                <c:ptCount val="1"/>
                <c:pt idx="0">
                  <c:v>FL1C4 REP 6 H2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Cumulative_rate_figures!$B$12:$U$12</c:f>
              <c:numCache>
                <c:formatCode>General</c:formatCode>
                <c:ptCount val="20"/>
                <c:pt idx="0">
                  <c:v>4.8061342415858741</c:v>
                </c:pt>
                <c:pt idx="1">
                  <c:v>32.914957907800321</c:v>
                </c:pt>
                <c:pt idx="2">
                  <c:v>62.914627612517265</c:v>
                </c:pt>
                <c:pt idx="3">
                  <c:v>94.657649417684098</c:v>
                </c:pt>
                <c:pt idx="4">
                  <c:v>132.27902922905216</c:v>
                </c:pt>
                <c:pt idx="5">
                  <c:v>176.52049529850831</c:v>
                </c:pt>
                <c:pt idx="6">
                  <c:v>189.1894874574906</c:v>
                </c:pt>
                <c:pt idx="7">
                  <c:v>207.84883308125742</c:v>
                </c:pt>
                <c:pt idx="8">
                  <c:v>243.16132521309711</c:v>
                </c:pt>
                <c:pt idx="9">
                  <c:v>291.81799825940612</c:v>
                </c:pt>
                <c:pt idx="10">
                  <c:v>322.76923956494085</c:v>
                </c:pt>
                <c:pt idx="11">
                  <c:v>362.61305723677117</c:v>
                </c:pt>
                <c:pt idx="12">
                  <c:v>414.86630215212716</c:v>
                </c:pt>
                <c:pt idx="13">
                  <c:v>485.56953931317241</c:v>
                </c:pt>
                <c:pt idx="14">
                  <c:v>570.70682751545689</c:v>
                </c:pt>
                <c:pt idx="15">
                  <c:v>649.43046700565367</c:v>
                </c:pt>
                <c:pt idx="16">
                  <c:v>717.89658016881253</c:v>
                </c:pt>
                <c:pt idx="17">
                  <c:v>784.2188028389146</c:v>
                </c:pt>
                <c:pt idx="18">
                  <c:v>846.29711659567477</c:v>
                </c:pt>
                <c:pt idx="19">
                  <c:v>881.63791881753775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A9-254F-BE41-D8E80680D023}"/>
            </c:ext>
          </c:extLst>
        </c:ser>
        <c:ser>
          <c:idx val="11"/>
          <c:order val="11"/>
          <c:tx>
            <c:strRef>
              <c:f>Cumulative_rate_figures!$A$13</c:f>
              <c:strCache>
                <c:ptCount val="1"/>
                <c:pt idx="0">
                  <c:v>FL1C4 REP 7 H2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Cumulative_rate_figures!$B$13:$U$13</c:f>
              <c:numCache>
                <c:formatCode>General</c:formatCode>
                <c:ptCount val="20"/>
                <c:pt idx="0">
                  <c:v>9.6589562150685779</c:v>
                </c:pt>
                <c:pt idx="1">
                  <c:v>34.899691502604497</c:v>
                </c:pt>
                <c:pt idx="2">
                  <c:v>58.297197122307459</c:v>
                </c:pt>
                <c:pt idx="3">
                  <c:v>92.96240256156949</c:v>
                </c:pt>
                <c:pt idx="4">
                  <c:v>126.40304713130128</c:v>
                </c:pt>
                <c:pt idx="5">
                  <c:v>163.5827138639234</c:v>
                </c:pt>
                <c:pt idx="6">
                  <c:v>180.7825389014281</c:v>
                </c:pt>
                <c:pt idx="7">
                  <c:v>195.16102718288545</c:v>
                </c:pt>
                <c:pt idx="8">
                  <c:v>224.58555420302886</c:v>
                </c:pt>
                <c:pt idx="9">
                  <c:v>266.47117159290849</c:v>
                </c:pt>
                <c:pt idx="10">
                  <c:v>295.43036604993603</c:v>
                </c:pt>
                <c:pt idx="11">
                  <c:v>330.25340309219689</c:v>
                </c:pt>
                <c:pt idx="12">
                  <c:v>383.65113642127079</c:v>
                </c:pt>
                <c:pt idx="13">
                  <c:v>430.35321140926914</c:v>
                </c:pt>
                <c:pt idx="14">
                  <c:v>489.15248065611286</c:v>
                </c:pt>
                <c:pt idx="15">
                  <c:v>543.4927997589233</c:v>
                </c:pt>
                <c:pt idx="16">
                  <c:v>618.06209939674739</c:v>
                </c:pt>
                <c:pt idx="17">
                  <c:v>680.27207444159012</c:v>
                </c:pt>
                <c:pt idx="18">
                  <c:v>748.0562240741599</c:v>
                </c:pt>
                <c:pt idx="19">
                  <c:v>779.52229854206394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8A9-254F-BE41-D8E80680D023}"/>
            </c:ext>
          </c:extLst>
        </c:ser>
        <c:ser>
          <c:idx val="12"/>
          <c:order val="12"/>
          <c:tx>
            <c:strRef>
              <c:f>Cumulative_rate_figures!$A$14</c:f>
              <c:strCache>
                <c:ptCount val="1"/>
                <c:pt idx="0">
                  <c:v>FL1C4 REP 8 H2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Cumulative_rate_figures!$B$14:$U$14</c:f>
              <c:numCache>
                <c:formatCode>General</c:formatCode>
                <c:ptCount val="20"/>
                <c:pt idx="0">
                  <c:v>4.8108702274794846</c:v>
                </c:pt>
                <c:pt idx="1">
                  <c:v>30.555076881164037</c:v>
                </c:pt>
                <c:pt idx="2">
                  <c:v>58.338903478467287</c:v>
                </c:pt>
                <c:pt idx="3">
                  <c:v>86.160686866006529</c:v>
                </c:pt>
                <c:pt idx="4">
                  <c:v>124.65925271668114</c:v>
                </c:pt>
                <c:pt idx="5">
                  <c:v>177.97835106310967</c:v>
                </c:pt>
                <c:pt idx="6">
                  <c:v>194.60372485170109</c:v>
                </c:pt>
                <c:pt idx="7">
                  <c:v>211.76337425679654</c:v>
                </c:pt>
                <c:pt idx="8">
                  <c:v>248.59436931470566</c:v>
                </c:pt>
                <c:pt idx="9">
                  <c:v>299.59194084046652</c:v>
                </c:pt>
                <c:pt idx="10">
                  <c:v>335.2710180952692</c:v>
                </c:pt>
                <c:pt idx="11">
                  <c:v>385.49774793789425</c:v>
                </c:pt>
                <c:pt idx="12">
                  <c:v>441.58277875539426</c:v>
                </c:pt>
                <c:pt idx="13">
                  <c:v>509.61737960196865</c:v>
                </c:pt>
                <c:pt idx="14">
                  <c:v>571.09662651232566</c:v>
                </c:pt>
                <c:pt idx="15">
                  <c:v>632.8218511782959</c:v>
                </c:pt>
                <c:pt idx="16">
                  <c:v>708.62926752030148</c:v>
                </c:pt>
                <c:pt idx="17">
                  <c:v>789.4074576093127</c:v>
                </c:pt>
                <c:pt idx="18">
                  <c:v>869.32020683022233</c:v>
                </c:pt>
                <c:pt idx="19">
                  <c:v>925.55011632702622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8A9-254F-BE41-D8E80680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991935"/>
        <c:axId val="691739311"/>
      </c:scatterChart>
      <c:valAx>
        <c:axId val="10069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39311"/>
        <c:crosses val="autoZero"/>
        <c:crossBetween val="midCat"/>
      </c:valAx>
      <c:valAx>
        <c:axId val="6917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9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Cumulative_rate_figures!$B$1:$B$26</c:f>
              <c:numCache>
                <c:formatCode>General</c:formatCode>
                <c:ptCount val="26"/>
                <c:pt idx="0">
                  <c:v>0</c:v>
                </c:pt>
                <c:pt idx="2">
                  <c:v>0.81424939302971677</c:v>
                </c:pt>
                <c:pt idx="3">
                  <c:v>1.4983310826920311</c:v>
                </c:pt>
                <c:pt idx="4">
                  <c:v>2.0061916502021764</c:v>
                </c:pt>
                <c:pt idx="5">
                  <c:v>1.8151629360396218</c:v>
                </c:pt>
                <c:pt idx="6">
                  <c:v>1.373892636434062</c:v>
                </c:pt>
                <c:pt idx="7">
                  <c:v>1.8643191440823859</c:v>
                </c:pt>
                <c:pt idx="8">
                  <c:v>1.8095200960047704</c:v>
                </c:pt>
                <c:pt idx="9">
                  <c:v>2.3287539885975801</c:v>
                </c:pt>
                <c:pt idx="10">
                  <c:v>4.281243334911915</c:v>
                </c:pt>
                <c:pt idx="11">
                  <c:v>4.8061342415858741</c:v>
                </c:pt>
                <c:pt idx="12">
                  <c:v>9.6589562150685779</c:v>
                </c:pt>
                <c:pt idx="13">
                  <c:v>4.8108702274794846</c:v>
                </c:pt>
                <c:pt idx="14">
                  <c:v>1.323170280729139</c:v>
                </c:pt>
                <c:pt idx="15">
                  <c:v>2.8831250613803769</c:v>
                </c:pt>
                <c:pt idx="16">
                  <c:v>7.8837756452073071</c:v>
                </c:pt>
                <c:pt idx="17">
                  <c:v>1.8283835168161633</c:v>
                </c:pt>
                <c:pt idx="18">
                  <c:v>6.8274795838192075</c:v>
                </c:pt>
                <c:pt idx="19">
                  <c:v>8.4339546170749315</c:v>
                </c:pt>
                <c:pt idx="20">
                  <c:v>10.720381803729392</c:v>
                </c:pt>
                <c:pt idx="21">
                  <c:v>11.805498089033707</c:v>
                </c:pt>
                <c:pt idx="22">
                  <c:v>11.825102762412641</c:v>
                </c:pt>
                <c:pt idx="23">
                  <c:v>17.240615640891406</c:v>
                </c:pt>
                <c:pt idx="24">
                  <c:v>12.622531755016617</c:v>
                </c:pt>
                <c:pt idx="25">
                  <c:v>33.501102686487954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70-EC49-86B8-AA86F308A91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Cumulative_rate_figures!$C$1:$C$26</c:f>
              <c:numCache>
                <c:formatCode>General</c:formatCode>
                <c:ptCount val="26"/>
                <c:pt idx="0">
                  <c:v>1</c:v>
                </c:pt>
                <c:pt idx="2">
                  <c:v>11.953127442070754</c:v>
                </c:pt>
                <c:pt idx="3">
                  <c:v>18.736908744924214</c:v>
                </c:pt>
                <c:pt idx="4">
                  <c:v>19.05197441216945</c:v>
                </c:pt>
                <c:pt idx="5">
                  <c:v>9.8196535917397849</c:v>
                </c:pt>
                <c:pt idx="6">
                  <c:v>7.3453950926347353</c:v>
                </c:pt>
                <c:pt idx="7">
                  <c:v>8.8359758622797795</c:v>
                </c:pt>
                <c:pt idx="8">
                  <c:v>8.0949809612075114</c:v>
                </c:pt>
                <c:pt idx="9">
                  <c:v>11.292294923710575</c:v>
                </c:pt>
                <c:pt idx="10">
                  <c:v>31.838582537783026</c:v>
                </c:pt>
                <c:pt idx="11">
                  <c:v>32.914957907800321</c:v>
                </c:pt>
                <c:pt idx="12">
                  <c:v>34.899691502604497</c:v>
                </c:pt>
                <c:pt idx="13">
                  <c:v>30.555076881164037</c:v>
                </c:pt>
                <c:pt idx="14">
                  <c:v>29.788842738140485</c:v>
                </c:pt>
                <c:pt idx="15">
                  <c:v>37.390058764728018</c:v>
                </c:pt>
                <c:pt idx="16">
                  <c:v>43.819555261282261</c:v>
                </c:pt>
                <c:pt idx="17">
                  <c:v>18.172746683804355</c:v>
                </c:pt>
                <c:pt idx="18">
                  <c:v>67.510333496048347</c:v>
                </c:pt>
                <c:pt idx="19">
                  <c:v>55.392074398628537</c:v>
                </c:pt>
                <c:pt idx="20">
                  <c:v>72.504070187455554</c:v>
                </c:pt>
                <c:pt idx="21">
                  <c:v>73.39280247746548</c:v>
                </c:pt>
                <c:pt idx="22">
                  <c:v>52.531969024277316</c:v>
                </c:pt>
                <c:pt idx="23">
                  <c:v>76.194737210620417</c:v>
                </c:pt>
                <c:pt idx="24">
                  <c:v>57.771006795229376</c:v>
                </c:pt>
                <c:pt idx="25">
                  <c:v>98.585802177802364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70-EC49-86B8-AA86F308A91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Cumulative_rate_figures!$D$1:$D$26</c:f>
              <c:numCache>
                <c:formatCode>General</c:formatCode>
                <c:ptCount val="26"/>
                <c:pt idx="0">
                  <c:v>2</c:v>
                </c:pt>
                <c:pt idx="2">
                  <c:v>18.533182288837068</c:v>
                </c:pt>
                <c:pt idx="3">
                  <c:v>27.219058513719478</c:v>
                </c:pt>
                <c:pt idx="4">
                  <c:v>27.087503917666005</c:v>
                </c:pt>
                <c:pt idx="5">
                  <c:v>14.729369901487939</c:v>
                </c:pt>
                <c:pt idx="6">
                  <c:v>10.387421480730477</c:v>
                </c:pt>
                <c:pt idx="7">
                  <c:v>13.026298404680263</c:v>
                </c:pt>
                <c:pt idx="8">
                  <c:v>11.970757952784744</c:v>
                </c:pt>
                <c:pt idx="9">
                  <c:v>15.258639826189354</c:v>
                </c:pt>
                <c:pt idx="10">
                  <c:v>62.921366970353262</c:v>
                </c:pt>
                <c:pt idx="11">
                  <c:v>62.914627612517265</c:v>
                </c:pt>
                <c:pt idx="12">
                  <c:v>58.297197122307459</c:v>
                </c:pt>
                <c:pt idx="13">
                  <c:v>58.338903478467287</c:v>
                </c:pt>
                <c:pt idx="14">
                  <c:v>57.475863869663584</c:v>
                </c:pt>
                <c:pt idx="15">
                  <c:v>76.444781967054467</c:v>
                </c:pt>
                <c:pt idx="16">
                  <c:v>74.524155498368287</c:v>
                </c:pt>
                <c:pt idx="17">
                  <c:v>28.821038795009777</c:v>
                </c:pt>
                <c:pt idx="18">
                  <c:v>95.315687480712882</c:v>
                </c:pt>
                <c:pt idx="19">
                  <c:v>80.916807447493369</c:v>
                </c:pt>
                <c:pt idx="20">
                  <c:v>94.69233878088653</c:v>
                </c:pt>
                <c:pt idx="21">
                  <c:v>104.15420665496238</c:v>
                </c:pt>
                <c:pt idx="22">
                  <c:v>71.475149021694534</c:v>
                </c:pt>
                <c:pt idx="23">
                  <c:v>99.977091479681548</c:v>
                </c:pt>
                <c:pt idx="24">
                  <c:v>77.65802153369016</c:v>
                </c:pt>
                <c:pt idx="25">
                  <c:v>120.391426298738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70-EC49-86B8-AA86F308A91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Cumulative_rate_figures!$E$1:$E$26</c:f>
              <c:numCache>
                <c:formatCode>General</c:formatCode>
                <c:ptCount val="26"/>
                <c:pt idx="0">
                  <c:v>4</c:v>
                </c:pt>
                <c:pt idx="2">
                  <c:v>21.623154264531003</c:v>
                </c:pt>
                <c:pt idx="3">
                  <c:v>32.403818736903318</c:v>
                </c:pt>
                <c:pt idx="4">
                  <c:v>33.381436509116718</c:v>
                </c:pt>
                <c:pt idx="5">
                  <c:v>17.556306846184317</c:v>
                </c:pt>
                <c:pt idx="6">
                  <c:v>12.300603151574943</c:v>
                </c:pt>
                <c:pt idx="7">
                  <c:v>15.53486734662677</c:v>
                </c:pt>
                <c:pt idx="8">
                  <c:v>14.825476391452558</c:v>
                </c:pt>
                <c:pt idx="9">
                  <c:v>17.504422271767673</c:v>
                </c:pt>
                <c:pt idx="10">
                  <c:v>94.533595264108783</c:v>
                </c:pt>
                <c:pt idx="11">
                  <c:v>94.657649417684098</c:v>
                </c:pt>
                <c:pt idx="12">
                  <c:v>92.96240256156949</c:v>
                </c:pt>
                <c:pt idx="13">
                  <c:v>86.160686866006529</c:v>
                </c:pt>
                <c:pt idx="14">
                  <c:v>93.769776455156119</c:v>
                </c:pt>
                <c:pt idx="15">
                  <c:v>110.57058135551665</c:v>
                </c:pt>
                <c:pt idx="16">
                  <c:v>112.50609066376033</c:v>
                </c:pt>
                <c:pt idx="17">
                  <c:v>39.76731934934157</c:v>
                </c:pt>
                <c:pt idx="18">
                  <c:v>115.90289982779244</c:v>
                </c:pt>
                <c:pt idx="19">
                  <c:v>101.41200230148524</c:v>
                </c:pt>
                <c:pt idx="20">
                  <c:v>115.212425720623</c:v>
                </c:pt>
                <c:pt idx="21">
                  <c:v>125.91616947553746</c:v>
                </c:pt>
                <c:pt idx="22">
                  <c:v>87.1194307258923</c:v>
                </c:pt>
                <c:pt idx="23">
                  <c:v>115.52470885082923</c:v>
                </c:pt>
                <c:pt idx="24">
                  <c:v>92.94367482186135</c:v>
                </c:pt>
                <c:pt idx="25">
                  <c:v>135.9763477402189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70-EC49-86B8-AA86F308A91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Cumulative_rate_figures!$F$1:$F$26</c:f>
              <c:numCache>
                <c:formatCode>General</c:formatCode>
                <c:ptCount val="26"/>
                <c:pt idx="0">
                  <c:v>6</c:v>
                </c:pt>
                <c:pt idx="2">
                  <c:v>24.062642003729565</c:v>
                </c:pt>
                <c:pt idx="3">
                  <c:v>36.600759335404604</c:v>
                </c:pt>
                <c:pt idx="4">
                  <c:v>37.400990306631734</c:v>
                </c:pt>
                <c:pt idx="5">
                  <c:v>19.728641031663816</c:v>
                </c:pt>
                <c:pt idx="6">
                  <c:v>13.542333314130005</c:v>
                </c:pt>
                <c:pt idx="7">
                  <c:v>17.580492095504049</c:v>
                </c:pt>
                <c:pt idx="8">
                  <c:v>16.329097679656368</c:v>
                </c:pt>
                <c:pt idx="9">
                  <c:v>19.566139549614395</c:v>
                </c:pt>
                <c:pt idx="10">
                  <c:v>123.98420578032868</c:v>
                </c:pt>
                <c:pt idx="11">
                  <c:v>132.27902922905216</c:v>
                </c:pt>
                <c:pt idx="12">
                  <c:v>126.40304713130128</c:v>
                </c:pt>
                <c:pt idx="13">
                  <c:v>124.65925271668114</c:v>
                </c:pt>
                <c:pt idx="14">
                  <c:v>123.43522663803139</c:v>
                </c:pt>
                <c:pt idx="15">
                  <c:v>146.92200137675266</c:v>
                </c:pt>
                <c:pt idx="16">
                  <c:v>143.32159090863669</c:v>
                </c:pt>
                <c:pt idx="17">
                  <c:v>50.366549719784771</c:v>
                </c:pt>
                <c:pt idx="18">
                  <c:v>126.43004680043931</c:v>
                </c:pt>
                <c:pt idx="19">
                  <c:v>117.35933907900134</c:v>
                </c:pt>
                <c:pt idx="20">
                  <c:v>128.49583610863894</c:v>
                </c:pt>
                <c:pt idx="21">
                  <c:v>142.50982183049771</c:v>
                </c:pt>
                <c:pt idx="22">
                  <c:v>99.697204155463794</c:v>
                </c:pt>
                <c:pt idx="23">
                  <c:v>129.76323799729221</c:v>
                </c:pt>
                <c:pt idx="24">
                  <c:v>105.74990704821506</c:v>
                </c:pt>
                <c:pt idx="25">
                  <c:v>147.1307083234079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70-EC49-86B8-AA86F308A91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Cumulative_rate_figures!$G$1:$G$26</c:f>
              <c:numCache>
                <c:formatCode>General</c:formatCode>
                <c:ptCount val="26"/>
                <c:pt idx="0">
                  <c:v>9</c:v>
                </c:pt>
                <c:pt idx="2">
                  <c:v>27.63017898814708</c:v>
                </c:pt>
                <c:pt idx="3">
                  <c:v>40.61979166602255</c:v>
                </c:pt>
                <c:pt idx="4">
                  <c:v>43.173138544354146</c:v>
                </c:pt>
                <c:pt idx="5">
                  <c:v>22.01938960742563</c:v>
                </c:pt>
                <c:pt idx="6">
                  <c:v>15.158740172040822</c:v>
                </c:pt>
                <c:pt idx="7">
                  <c:v>19.2658369246452</c:v>
                </c:pt>
                <c:pt idx="8">
                  <c:v>17.995182385685567</c:v>
                </c:pt>
                <c:pt idx="9">
                  <c:v>21.246079511948501</c:v>
                </c:pt>
                <c:pt idx="10">
                  <c:v>210.85266249805898</c:v>
                </c:pt>
                <c:pt idx="11">
                  <c:v>176.52049529850831</c:v>
                </c:pt>
                <c:pt idx="12">
                  <c:v>163.5827138639234</c:v>
                </c:pt>
                <c:pt idx="13">
                  <c:v>177.97835106310967</c:v>
                </c:pt>
                <c:pt idx="14">
                  <c:v>187.99124064566334</c:v>
                </c:pt>
                <c:pt idx="15">
                  <c:v>200.75961766269916</c:v>
                </c:pt>
                <c:pt idx="16">
                  <c:v>209.93043506727855</c:v>
                </c:pt>
                <c:pt idx="17">
                  <c:v>67.891507390970474</c:v>
                </c:pt>
                <c:pt idx="18">
                  <c:v>138.77550691409127</c:v>
                </c:pt>
                <c:pt idx="19">
                  <c:v>131.56157974642775</c:v>
                </c:pt>
                <c:pt idx="20">
                  <c:v>144.66950078883525</c:v>
                </c:pt>
                <c:pt idx="21">
                  <c:v>159.81914022249018</c:v>
                </c:pt>
                <c:pt idx="22">
                  <c:v>112.3780613528579</c:v>
                </c:pt>
                <c:pt idx="23">
                  <c:v>144.37589165525605</c:v>
                </c:pt>
                <c:pt idx="24">
                  <c:v>118.72090859201985</c:v>
                </c:pt>
                <c:pt idx="25">
                  <c:v>157.65271292770737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70-EC49-86B8-AA86F308A91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Cumulative_rate_figures!$H$1:$H$26</c:f>
              <c:numCache>
                <c:formatCode>General</c:formatCode>
                <c:ptCount val="26"/>
                <c:pt idx="0">
                  <c:v>12</c:v>
                </c:pt>
                <c:pt idx="2">
                  <c:v>29.369264148393139</c:v>
                </c:pt>
                <c:pt idx="3">
                  <c:v>42.797540441541841</c:v>
                </c:pt>
                <c:pt idx="4">
                  <c:v>45.997206037278339</c:v>
                </c:pt>
                <c:pt idx="5">
                  <c:v>22.886696405188669</c:v>
                </c:pt>
                <c:pt idx="6">
                  <c:v>16.123946764865718</c:v>
                </c:pt>
                <c:pt idx="7">
                  <c:v>20.38356402759813</c:v>
                </c:pt>
                <c:pt idx="8">
                  <c:v>19.087318736102468</c:v>
                </c:pt>
                <c:pt idx="9">
                  <c:v>21.980853289069817</c:v>
                </c:pt>
                <c:pt idx="10">
                  <c:v>259.93841212844166</c:v>
                </c:pt>
                <c:pt idx="11">
                  <c:v>189.1894874574906</c:v>
                </c:pt>
                <c:pt idx="12">
                  <c:v>180.7825389014281</c:v>
                </c:pt>
                <c:pt idx="13">
                  <c:v>194.60372485170109</c:v>
                </c:pt>
                <c:pt idx="14">
                  <c:v>209.79304444519929</c:v>
                </c:pt>
                <c:pt idx="15">
                  <c:v>217.70465228361019</c:v>
                </c:pt>
                <c:pt idx="16">
                  <c:v>232.16070065179795</c:v>
                </c:pt>
                <c:pt idx="17">
                  <c:v>81.657520444656953</c:v>
                </c:pt>
                <c:pt idx="18">
                  <c:v>144.93748965354155</c:v>
                </c:pt>
                <c:pt idx="19">
                  <c:v>147.12376342031968</c:v>
                </c:pt>
                <c:pt idx="20">
                  <c:v>152.18993062406901</c:v>
                </c:pt>
                <c:pt idx="21">
                  <c:v>167.87347656442168</c:v>
                </c:pt>
                <c:pt idx="22">
                  <c:v>121.14810047393573</c:v>
                </c:pt>
                <c:pt idx="23">
                  <c:v>153.76926539911994</c:v>
                </c:pt>
                <c:pt idx="24">
                  <c:v>128.39047649062655</c:v>
                </c:pt>
                <c:pt idx="25">
                  <c:v>162.02868036960686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70-EC49-86B8-AA86F308A91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Cumulative_rate_figures!$I$1:$I$26</c:f>
              <c:numCache>
                <c:formatCode>General</c:formatCode>
                <c:ptCount val="26"/>
                <c:pt idx="0">
                  <c:v>14</c:v>
                </c:pt>
                <c:pt idx="2">
                  <c:v>31.776788915506842</c:v>
                </c:pt>
                <c:pt idx="3">
                  <c:v>45.735302356133239</c:v>
                </c:pt>
                <c:pt idx="4">
                  <c:v>49.461299444677039</c:v>
                </c:pt>
                <c:pt idx="5">
                  <c:v>24.601558926603342</c:v>
                </c:pt>
                <c:pt idx="6">
                  <c:v>17.20772150241698</c:v>
                </c:pt>
                <c:pt idx="7">
                  <c:v>21.465946200412898</c:v>
                </c:pt>
                <c:pt idx="8">
                  <c:v>20.230119996327161</c:v>
                </c:pt>
                <c:pt idx="9">
                  <c:v>23.176502338392623</c:v>
                </c:pt>
                <c:pt idx="10">
                  <c:v>304.64218153848822</c:v>
                </c:pt>
                <c:pt idx="11">
                  <c:v>207.84883308125742</c:v>
                </c:pt>
                <c:pt idx="12">
                  <c:v>195.16102718288545</c:v>
                </c:pt>
                <c:pt idx="13">
                  <c:v>211.76337425679654</c:v>
                </c:pt>
                <c:pt idx="14">
                  <c:v>228.55699137266853</c:v>
                </c:pt>
                <c:pt idx="15">
                  <c:v>237.73565946271418</c:v>
                </c:pt>
                <c:pt idx="16">
                  <c:v>254.95780698743465</c:v>
                </c:pt>
                <c:pt idx="17">
                  <c:v>96.023205168443553</c:v>
                </c:pt>
                <c:pt idx="18">
                  <c:v>151.93711817196075</c:v>
                </c:pt>
                <c:pt idx="19">
                  <c:v>155.85355910460461</c:v>
                </c:pt>
                <c:pt idx="20">
                  <c:v>160.15982850916001</c:v>
                </c:pt>
                <c:pt idx="21">
                  <c:v>178.52038801942393</c:v>
                </c:pt>
                <c:pt idx="22">
                  <c:v>131.16388292945166</c:v>
                </c:pt>
                <c:pt idx="23">
                  <c:v>166.10193454767509</c:v>
                </c:pt>
                <c:pt idx="24">
                  <c:v>139.14022553210165</c:v>
                </c:pt>
                <c:pt idx="25">
                  <c:v>168.29728864944772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470-EC49-86B8-AA86F308A91F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Cumulative_rate_figures!$J$1:$J$26</c:f>
              <c:numCache>
                <c:formatCode>General</c:formatCode>
                <c:ptCount val="26"/>
                <c:pt idx="0">
                  <c:v>19</c:v>
                </c:pt>
                <c:pt idx="2">
                  <c:v>37.29362644316781</c:v>
                </c:pt>
                <c:pt idx="3">
                  <c:v>50.937534202707958</c:v>
                </c:pt>
                <c:pt idx="4">
                  <c:v>56.416304424461096</c:v>
                </c:pt>
                <c:pt idx="5">
                  <c:v>28.53885754683871</c:v>
                </c:pt>
                <c:pt idx="6">
                  <c:v>20.923896925800392</c:v>
                </c:pt>
                <c:pt idx="7">
                  <c:v>23.56857960389295</c:v>
                </c:pt>
                <c:pt idx="8">
                  <c:v>23.466127119596962</c:v>
                </c:pt>
                <c:pt idx="9">
                  <c:v>25.082040041362323</c:v>
                </c:pt>
                <c:pt idx="10">
                  <c:v>606.3407144912635</c:v>
                </c:pt>
                <c:pt idx="11">
                  <c:v>243.16132521309711</c:v>
                </c:pt>
                <c:pt idx="12">
                  <c:v>224.58555420302886</c:v>
                </c:pt>
                <c:pt idx="13">
                  <c:v>248.59436931470566</c:v>
                </c:pt>
                <c:pt idx="14">
                  <c:v>281.34880310066359</c:v>
                </c:pt>
                <c:pt idx="15">
                  <c:v>282.26627578368726</c:v>
                </c:pt>
                <c:pt idx="16">
                  <c:v>298.66270746642215</c:v>
                </c:pt>
                <c:pt idx="17">
                  <c:v>111.18285714579206</c:v>
                </c:pt>
                <c:pt idx="18">
                  <c:v>166.57207426812201</c:v>
                </c:pt>
                <c:pt idx="19">
                  <c:v>171.53332022167643</c:v>
                </c:pt>
                <c:pt idx="20">
                  <c:v>175.73331591814741</c:v>
                </c:pt>
                <c:pt idx="21">
                  <c:v>196.12584045330024</c:v>
                </c:pt>
                <c:pt idx="22">
                  <c:v>144.26421419347275</c:v>
                </c:pt>
                <c:pt idx="23">
                  <c:v>184.21301997891132</c:v>
                </c:pt>
                <c:pt idx="24">
                  <c:v>152.1974018821287</c:v>
                </c:pt>
                <c:pt idx="25">
                  <c:v>177.99610164254545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470-EC49-86B8-AA86F308A91F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Cumulative_rate_figures!$K$1:$K$26</c:f>
              <c:numCache>
                <c:formatCode>General</c:formatCode>
                <c:ptCount val="26"/>
                <c:pt idx="0">
                  <c:v>26</c:v>
                </c:pt>
                <c:pt idx="2">
                  <c:v>55.431983086766955</c:v>
                </c:pt>
                <c:pt idx="3">
                  <c:v>73.435509049680718</c:v>
                </c:pt>
                <c:pt idx="4">
                  <c:v>83.194205481951855</c:v>
                </c:pt>
                <c:pt idx="5">
                  <c:v>43.855544477456284</c:v>
                </c:pt>
                <c:pt idx="6">
                  <c:v>32.240486095106874</c:v>
                </c:pt>
                <c:pt idx="7">
                  <c:v>29.05600203565244</c:v>
                </c:pt>
                <c:pt idx="8">
                  <c:v>32.635039748993314</c:v>
                </c:pt>
                <c:pt idx="9">
                  <c:v>31.985820691853093</c:v>
                </c:pt>
                <c:pt idx="10">
                  <c:v>788.86883460609351</c:v>
                </c:pt>
                <c:pt idx="11">
                  <c:v>291.81799825940612</c:v>
                </c:pt>
                <c:pt idx="12">
                  <c:v>266.47117159290849</c:v>
                </c:pt>
                <c:pt idx="13">
                  <c:v>299.59194084046652</c:v>
                </c:pt>
                <c:pt idx="14">
                  <c:v>363.88150665417419</c:v>
                </c:pt>
                <c:pt idx="15">
                  <c:v>372.37620194323802</c:v>
                </c:pt>
                <c:pt idx="16">
                  <c:v>369.12356437650999</c:v>
                </c:pt>
                <c:pt idx="17">
                  <c:v>128.79371001555953</c:v>
                </c:pt>
                <c:pt idx="18">
                  <c:v>185.53993440553415</c:v>
                </c:pt>
                <c:pt idx="19">
                  <c:v>191.58557135469954</c:v>
                </c:pt>
                <c:pt idx="20">
                  <c:v>193.71954591492454</c:v>
                </c:pt>
                <c:pt idx="21">
                  <c:v>219.30132401144479</c:v>
                </c:pt>
                <c:pt idx="22">
                  <c:v>160.96521789415982</c:v>
                </c:pt>
                <c:pt idx="23">
                  <c:v>214.99851924069475</c:v>
                </c:pt>
                <c:pt idx="24">
                  <c:v>169.48268365981892</c:v>
                </c:pt>
                <c:pt idx="25">
                  <c:v>212.56292656943162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470-EC49-86B8-AA86F308A91F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Cumulative_rate_figures!$L$1:$L$26</c:f>
              <c:numCache>
                <c:formatCode>General</c:formatCode>
                <c:ptCount val="26"/>
                <c:pt idx="0">
                  <c:v>30</c:v>
                </c:pt>
                <c:pt idx="2">
                  <c:v>80.620053519557644</c:v>
                </c:pt>
                <c:pt idx="3">
                  <c:v>98.310654867900197</c:v>
                </c:pt>
                <c:pt idx="4">
                  <c:v>106.78765366449876</c:v>
                </c:pt>
                <c:pt idx="5">
                  <c:v>57.368936944414628</c:v>
                </c:pt>
                <c:pt idx="6">
                  <c:v>43.014496497826372</c:v>
                </c:pt>
                <c:pt idx="7">
                  <c:v>36.946170822911746</c:v>
                </c:pt>
                <c:pt idx="8">
                  <c:v>42.65415936527333</c:v>
                </c:pt>
                <c:pt idx="9">
                  <c:v>40.545607213523603</c:v>
                </c:pt>
                <c:pt idx="10">
                  <c:v>848.74896413465899</c:v>
                </c:pt>
                <c:pt idx="11">
                  <c:v>322.76923956494085</c:v>
                </c:pt>
                <c:pt idx="12">
                  <c:v>295.43036604993603</c:v>
                </c:pt>
                <c:pt idx="13">
                  <c:v>335.2710180952692</c:v>
                </c:pt>
                <c:pt idx="14">
                  <c:v>382.11334680927143</c:v>
                </c:pt>
                <c:pt idx="15">
                  <c:v>445.77271067297772</c:v>
                </c:pt>
                <c:pt idx="16">
                  <c:v>419.53502265827962</c:v>
                </c:pt>
                <c:pt idx="17">
                  <c:v>146.6865940288329</c:v>
                </c:pt>
                <c:pt idx="18">
                  <c:v>201.55128911075371</c:v>
                </c:pt>
                <c:pt idx="19">
                  <c:v>202.99053966332275</c:v>
                </c:pt>
                <c:pt idx="20">
                  <c:v>205.09816946124994</c:v>
                </c:pt>
                <c:pt idx="21">
                  <c:v>233.51282733897119</c:v>
                </c:pt>
                <c:pt idx="22">
                  <c:v>185.09941448560792</c:v>
                </c:pt>
                <c:pt idx="23">
                  <c:v>255.76775445986098</c:v>
                </c:pt>
                <c:pt idx="24">
                  <c:v>190.68806467586995</c:v>
                </c:pt>
                <c:pt idx="25">
                  <c:v>255.67696581038493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470-EC49-86B8-AA86F308A91F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Cumulative_rate_figures!$M$1:$M$26</c:f>
              <c:numCache>
                <c:formatCode>General</c:formatCode>
                <c:ptCount val="26"/>
                <c:pt idx="0">
                  <c:v>36</c:v>
                </c:pt>
                <c:pt idx="2">
                  <c:v>100.75604274610858</c:v>
                </c:pt>
                <c:pt idx="3">
                  <c:v>122.1880999472007</c:v>
                </c:pt>
                <c:pt idx="4">
                  <c:v>125.15648252223511</c:v>
                </c:pt>
                <c:pt idx="5">
                  <c:v>69.895480785836014</c:v>
                </c:pt>
                <c:pt idx="6">
                  <c:v>61.810283768156275</c:v>
                </c:pt>
                <c:pt idx="7">
                  <c:v>53.275293004290077</c:v>
                </c:pt>
                <c:pt idx="8">
                  <c:v>59.917633542895601</c:v>
                </c:pt>
                <c:pt idx="9">
                  <c:v>57.896398142236251</c:v>
                </c:pt>
                <c:pt idx="10">
                  <c:v>903.91300094527821</c:v>
                </c:pt>
                <c:pt idx="11">
                  <c:v>362.61305723677117</c:v>
                </c:pt>
                <c:pt idx="12">
                  <c:v>330.25340309219689</c:v>
                </c:pt>
                <c:pt idx="13">
                  <c:v>385.49774793789425</c:v>
                </c:pt>
                <c:pt idx="14">
                  <c:v>526.99768626065372</c:v>
                </c:pt>
                <c:pt idx="15">
                  <c:v>621.01813350495308</c:v>
                </c:pt>
                <c:pt idx="16">
                  <c:v>518.66278363775314</c:v>
                </c:pt>
                <c:pt idx="17">
                  <c:v>165.96200658317059</c:v>
                </c:pt>
                <c:pt idx="18">
                  <c:v>238.91488546458345</c:v>
                </c:pt>
                <c:pt idx="19">
                  <c:v>221.06385189749878</c:v>
                </c:pt>
                <c:pt idx="20">
                  <c:v>217.5314700432381</c:v>
                </c:pt>
                <c:pt idx="21">
                  <c:v>249.21323876378156</c:v>
                </c:pt>
                <c:pt idx="22">
                  <c:v>209.31360479045745</c:v>
                </c:pt>
                <c:pt idx="23">
                  <c:v>300.14331504512563</c:v>
                </c:pt>
                <c:pt idx="24">
                  <c:v>210.81902849387416</c:v>
                </c:pt>
                <c:pt idx="25">
                  <c:v>321.07473528730242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470-EC49-86B8-AA86F308A91F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Cumulative_rate_figures!$N$1:$N$26</c:f>
              <c:numCache>
                <c:formatCode>General</c:formatCode>
                <c:ptCount val="26"/>
                <c:pt idx="0">
                  <c:v>44</c:v>
                </c:pt>
                <c:pt idx="2">
                  <c:v>121.52138511079849</c:v>
                </c:pt>
                <c:pt idx="3">
                  <c:v>139.0782706762385</c:v>
                </c:pt>
                <c:pt idx="4">
                  <c:v>140.8859588188887</c:v>
                </c:pt>
                <c:pt idx="5">
                  <c:v>81.657526886582957</c:v>
                </c:pt>
                <c:pt idx="6">
                  <c:v>86.27383417182881</c:v>
                </c:pt>
                <c:pt idx="7">
                  <c:v>72.747558345824302</c:v>
                </c:pt>
                <c:pt idx="8">
                  <c:v>76.1224365545701</c:v>
                </c:pt>
                <c:pt idx="9">
                  <c:v>77.919420349650807</c:v>
                </c:pt>
                <c:pt idx="10">
                  <c:v>974.88428788050919</c:v>
                </c:pt>
                <c:pt idx="11">
                  <c:v>414.86630215212716</c:v>
                </c:pt>
                <c:pt idx="12">
                  <c:v>383.65113642127079</c:v>
                </c:pt>
                <c:pt idx="13">
                  <c:v>441.58277875539426</c:v>
                </c:pt>
                <c:pt idx="14">
                  <c:v>687.59991203805203</c:v>
                </c:pt>
                <c:pt idx="15">
                  <c:v>836.68633442727423</c:v>
                </c:pt>
                <c:pt idx="16">
                  <c:v>604.39860597580741</c:v>
                </c:pt>
                <c:pt idx="17">
                  <c:v>185.60612158740796</c:v>
                </c:pt>
                <c:pt idx="18">
                  <c:v>356.51371633011007</c:v>
                </c:pt>
                <c:pt idx="19">
                  <c:v>247.96739213254801</c:v>
                </c:pt>
                <c:pt idx="20">
                  <c:v>232.40546748308566</c:v>
                </c:pt>
                <c:pt idx="21">
                  <c:v>265.95250800637859</c:v>
                </c:pt>
                <c:pt idx="22">
                  <c:v>231.47463245654782</c:v>
                </c:pt>
                <c:pt idx="23">
                  <c:v>327.36823666838757</c:v>
                </c:pt>
                <c:pt idx="24">
                  <c:v>225.62289516089496</c:v>
                </c:pt>
                <c:pt idx="25">
                  <c:v>384.3573883061718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470-EC49-86B8-AA86F308A91F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Cumulative_rate_figures!$O$1:$O$26</c:f>
              <c:numCache>
                <c:formatCode>General</c:formatCode>
                <c:ptCount val="26"/>
                <c:pt idx="0">
                  <c:v>51</c:v>
                </c:pt>
                <c:pt idx="2">
                  <c:v>132.12417833839876</c:v>
                </c:pt>
                <c:pt idx="3">
                  <c:v>150.9724308463085</c:v>
                </c:pt>
                <c:pt idx="4">
                  <c:v>151.77119299979225</c:v>
                </c:pt>
                <c:pt idx="5">
                  <c:v>91.726456220077452</c:v>
                </c:pt>
                <c:pt idx="6">
                  <c:v>98.371698534918096</c:v>
                </c:pt>
                <c:pt idx="7">
                  <c:v>85.216315887964342</c:v>
                </c:pt>
                <c:pt idx="8">
                  <c:v>84.966503338724067</c:v>
                </c:pt>
                <c:pt idx="9">
                  <c:v>88.631478971569379</c:v>
                </c:pt>
                <c:pt idx="10">
                  <c:v>1035.3013429942216</c:v>
                </c:pt>
                <c:pt idx="11">
                  <c:v>485.56953931317241</c:v>
                </c:pt>
                <c:pt idx="12">
                  <c:v>430.35321140926914</c:v>
                </c:pt>
                <c:pt idx="13">
                  <c:v>509.61737960196865</c:v>
                </c:pt>
                <c:pt idx="14">
                  <c:v>798.21342378507882</c:v>
                </c:pt>
                <c:pt idx="15">
                  <c:v>999.22649806012396</c:v>
                </c:pt>
                <c:pt idx="16">
                  <c:v>667.17443780880433</c:v>
                </c:pt>
                <c:pt idx="17">
                  <c:v>205.19302604629581</c:v>
                </c:pt>
                <c:pt idx="18">
                  <c:v>451.80085810359594</c:v>
                </c:pt>
                <c:pt idx="19">
                  <c:v>355.18659260459066</c:v>
                </c:pt>
                <c:pt idx="20">
                  <c:v>246.09714127152287</c:v>
                </c:pt>
                <c:pt idx="21">
                  <c:v>282.02572824115776</c:v>
                </c:pt>
                <c:pt idx="22">
                  <c:v>247.86352550739173</c:v>
                </c:pt>
                <c:pt idx="23">
                  <c:v>352.05541992355018</c:v>
                </c:pt>
                <c:pt idx="24">
                  <c:v>240.67781885781218</c:v>
                </c:pt>
                <c:pt idx="25">
                  <c:v>427.74358827161706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470-EC49-86B8-AA86F308A91F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Cumulative_rate_figures!$P$1:$P$26</c:f>
              <c:numCache>
                <c:formatCode>General</c:formatCode>
                <c:ptCount val="26"/>
                <c:pt idx="0">
                  <c:v>58</c:v>
                </c:pt>
                <c:pt idx="2">
                  <c:v>139.35733304003062</c:v>
                </c:pt>
                <c:pt idx="3">
                  <c:v>160.76745144238851</c:v>
                </c:pt>
                <c:pt idx="4">
                  <c:v>160.85833136223309</c:v>
                </c:pt>
                <c:pt idx="5">
                  <c:v>97.618152078356488</c:v>
                </c:pt>
                <c:pt idx="6">
                  <c:v>108.71757003676447</c:v>
                </c:pt>
                <c:pt idx="7">
                  <c:v>92.507988761244292</c:v>
                </c:pt>
                <c:pt idx="8">
                  <c:v>90.833090464857634</c:v>
                </c:pt>
                <c:pt idx="9">
                  <c:v>95.801790569247572</c:v>
                </c:pt>
                <c:pt idx="10">
                  <c:v>1113.6494448125009</c:v>
                </c:pt>
                <c:pt idx="11">
                  <c:v>570.70682751545689</c:v>
                </c:pt>
                <c:pt idx="12">
                  <c:v>489.15248065611286</c:v>
                </c:pt>
                <c:pt idx="13">
                  <c:v>571.09662651232566</c:v>
                </c:pt>
                <c:pt idx="14">
                  <c:v>903.03772634487791</c:v>
                </c:pt>
                <c:pt idx="15">
                  <c:v>1110.6133919762162</c:v>
                </c:pt>
                <c:pt idx="16">
                  <c:v>722.96937408806184</c:v>
                </c:pt>
                <c:pt idx="17">
                  <c:v>225.2368067347077</c:v>
                </c:pt>
                <c:pt idx="18">
                  <c:v>532.69629335653929</c:v>
                </c:pt>
                <c:pt idx="19">
                  <c:v>474.48816422772444</c:v>
                </c:pt>
                <c:pt idx="20">
                  <c:v>263.14083008708275</c:v>
                </c:pt>
                <c:pt idx="21">
                  <c:v>301.24979563076539</c:v>
                </c:pt>
                <c:pt idx="22">
                  <c:v>265.21381758435075</c:v>
                </c:pt>
                <c:pt idx="23">
                  <c:v>374.68902515692304</c:v>
                </c:pt>
                <c:pt idx="24">
                  <c:v>255.05834930272388</c:v>
                </c:pt>
                <c:pt idx="25">
                  <c:v>464.51681334488353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470-EC49-86B8-AA86F308A91F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Cumulative_rate_figures!$Q$1:$Q$26</c:f>
              <c:numCache>
                <c:formatCode>General</c:formatCode>
                <c:ptCount val="26"/>
                <c:pt idx="0">
                  <c:v>65</c:v>
                </c:pt>
                <c:pt idx="2">
                  <c:v>145.52645118587122</c:v>
                </c:pt>
                <c:pt idx="3">
                  <c:v>170.91154060385156</c:v>
                </c:pt>
                <c:pt idx="4">
                  <c:v>168.83451222603588</c:v>
                </c:pt>
                <c:pt idx="5">
                  <c:v>103.00265378278098</c:v>
                </c:pt>
                <c:pt idx="6">
                  <c:v>114.55129714147829</c:v>
                </c:pt>
                <c:pt idx="7">
                  <c:v>98.834509781393578</c:v>
                </c:pt>
                <c:pt idx="8">
                  <c:v>94.800246600543048</c:v>
                </c:pt>
                <c:pt idx="9">
                  <c:v>100.94985864592722</c:v>
                </c:pt>
                <c:pt idx="10">
                  <c:v>1193.3185793609327</c:v>
                </c:pt>
                <c:pt idx="11">
                  <c:v>649.43046700565367</c:v>
                </c:pt>
                <c:pt idx="12">
                  <c:v>543.4927997589233</c:v>
                </c:pt>
                <c:pt idx="13">
                  <c:v>632.8218511782959</c:v>
                </c:pt>
                <c:pt idx="14">
                  <c:v>983.04156001535841</c:v>
                </c:pt>
                <c:pt idx="15">
                  <c:v>1213.0344357931203</c:v>
                </c:pt>
                <c:pt idx="16">
                  <c:v>775.01840952783175</c:v>
                </c:pt>
                <c:pt idx="17">
                  <c:v>244.65578121518692</c:v>
                </c:pt>
                <c:pt idx="18">
                  <c:v>616.10736212499421</c:v>
                </c:pt>
                <c:pt idx="19">
                  <c:v>637.28636426587127</c:v>
                </c:pt>
                <c:pt idx="20">
                  <c:v>284.61915858864796</c:v>
                </c:pt>
                <c:pt idx="21">
                  <c:v>329.05120035340764</c:v>
                </c:pt>
                <c:pt idx="22">
                  <c:v>283.54690659141988</c:v>
                </c:pt>
                <c:pt idx="23">
                  <c:v>396.32325606825174</c:v>
                </c:pt>
                <c:pt idx="24">
                  <c:v>270.42424275678928</c:v>
                </c:pt>
                <c:pt idx="25">
                  <c:v>501.10318387656611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470-EC49-86B8-AA86F308A91F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Cumulative_rate_figures!$R$1:$R$26</c:f>
              <c:numCache>
                <c:formatCode>General</c:formatCode>
                <c:ptCount val="26"/>
                <c:pt idx="0">
                  <c:v>74</c:v>
                </c:pt>
                <c:pt idx="2">
                  <c:v>153.95392552568771</c:v>
                </c:pt>
                <c:pt idx="3">
                  <c:v>179.88509030832216</c:v>
                </c:pt>
                <c:pt idx="4">
                  <c:v>178.46337065878615</c:v>
                </c:pt>
                <c:pt idx="5">
                  <c:v>109.61908623598089</c:v>
                </c:pt>
                <c:pt idx="6">
                  <c:v>121.39472761130897</c:v>
                </c:pt>
                <c:pt idx="7">
                  <c:v>105.09839109979612</c:v>
                </c:pt>
                <c:pt idx="8">
                  <c:v>99.250758859777918</c:v>
                </c:pt>
                <c:pt idx="9">
                  <c:v>105.95017851601712</c:v>
                </c:pt>
                <c:pt idx="10">
                  <c:v>1276.7262263218786</c:v>
                </c:pt>
                <c:pt idx="11">
                  <c:v>717.89658016881253</c:v>
                </c:pt>
                <c:pt idx="12">
                  <c:v>618.06209939674739</c:v>
                </c:pt>
                <c:pt idx="13">
                  <c:v>708.62926752030148</c:v>
                </c:pt>
                <c:pt idx="14">
                  <c:v>1095.0846876233063</c:v>
                </c:pt>
                <c:pt idx="15">
                  <c:v>1327.5521855292318</c:v>
                </c:pt>
                <c:pt idx="16">
                  <c:v>835.58971999324649</c:v>
                </c:pt>
                <c:pt idx="17">
                  <c:v>262.68797921725979</c:v>
                </c:pt>
                <c:pt idx="18">
                  <c:v>757.34455976948334</c:v>
                </c:pt>
                <c:pt idx="19">
                  <c:v>775.4966703000805</c:v>
                </c:pt>
                <c:pt idx="20">
                  <c:v>331.23562572239075</c:v>
                </c:pt>
                <c:pt idx="21">
                  <c:v>393.31273817441263</c:v>
                </c:pt>
                <c:pt idx="22">
                  <c:v>299.57254969400105</c:v>
                </c:pt>
                <c:pt idx="23">
                  <c:v>422.75751742973898</c:v>
                </c:pt>
                <c:pt idx="24">
                  <c:v>283.78549217751288</c:v>
                </c:pt>
                <c:pt idx="25">
                  <c:v>548.69078144822242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470-EC49-86B8-AA86F308A91F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Cumulative_rate_figures!$S$1:$S$26</c:f>
              <c:numCache>
                <c:formatCode>General</c:formatCode>
                <c:ptCount val="26"/>
                <c:pt idx="0">
                  <c:v>83</c:v>
                </c:pt>
                <c:pt idx="2">
                  <c:v>161.22080630713177</c:v>
                </c:pt>
                <c:pt idx="3">
                  <c:v>189.7430223323945</c:v>
                </c:pt>
                <c:pt idx="4">
                  <c:v>188.77042259084988</c:v>
                </c:pt>
                <c:pt idx="5">
                  <c:v>115.65545080077698</c:v>
                </c:pt>
                <c:pt idx="6">
                  <c:v>128.18987918498107</c:v>
                </c:pt>
                <c:pt idx="7">
                  <c:v>111.96006383202077</c:v>
                </c:pt>
                <c:pt idx="8">
                  <c:v>103.72721880778624</c:v>
                </c:pt>
                <c:pt idx="9">
                  <c:v>110.46162626060317</c:v>
                </c:pt>
                <c:pt idx="10">
                  <c:v>1346.9038626499987</c:v>
                </c:pt>
                <c:pt idx="11">
                  <c:v>784.2188028389146</c:v>
                </c:pt>
                <c:pt idx="12">
                  <c:v>680.27207444159012</c:v>
                </c:pt>
                <c:pt idx="13">
                  <c:v>789.4074576093127</c:v>
                </c:pt>
                <c:pt idx="14">
                  <c:v>1198.0255771811626</c:v>
                </c:pt>
                <c:pt idx="15">
                  <c:v>1508.905653810082</c:v>
                </c:pt>
                <c:pt idx="16">
                  <c:v>897.52754999918977</c:v>
                </c:pt>
                <c:pt idx="17">
                  <c:v>280.61816386550794</c:v>
                </c:pt>
                <c:pt idx="18">
                  <c:v>905.37731297412961</c:v>
                </c:pt>
                <c:pt idx="19">
                  <c:v>875.6103064739749</c:v>
                </c:pt>
                <c:pt idx="20">
                  <c:v>416.85365810445512</c:v>
                </c:pt>
                <c:pt idx="21">
                  <c:v>474.31102092243162</c:v>
                </c:pt>
                <c:pt idx="22">
                  <c:v>316.30452325064039</c:v>
                </c:pt>
                <c:pt idx="23">
                  <c:v>446.83479879734307</c:v>
                </c:pt>
                <c:pt idx="24">
                  <c:v>296.94100666857821</c:v>
                </c:pt>
                <c:pt idx="25">
                  <c:v>591.85780393405071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470-EC49-86B8-AA86F308A91F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Cumulative_rate_figures!$T$1:$T$26</c:f>
              <c:numCache>
                <c:formatCode>General</c:formatCode>
                <c:ptCount val="26"/>
                <c:pt idx="0">
                  <c:v>92</c:v>
                </c:pt>
                <c:pt idx="2">
                  <c:v>167.60684999828942</c:v>
                </c:pt>
                <c:pt idx="3">
                  <c:v>199.66214822297496</c:v>
                </c:pt>
                <c:pt idx="4">
                  <c:v>208.07905906952251</c:v>
                </c:pt>
                <c:pt idx="5">
                  <c:v>121.10744899148277</c:v>
                </c:pt>
                <c:pt idx="6">
                  <c:v>135.77853637468269</c:v>
                </c:pt>
                <c:pt idx="7">
                  <c:v>118.19539219909781</c:v>
                </c:pt>
                <c:pt idx="8">
                  <c:v>108.53920303824835</c:v>
                </c:pt>
                <c:pt idx="9">
                  <c:v>114.58518708516372</c:v>
                </c:pt>
                <c:pt idx="10">
                  <c:v>1409.8675118687911</c:v>
                </c:pt>
                <c:pt idx="11">
                  <c:v>846.29711659567477</c:v>
                </c:pt>
                <c:pt idx="12">
                  <c:v>748.0562240741599</c:v>
                </c:pt>
                <c:pt idx="13">
                  <c:v>869.32020683022233</c:v>
                </c:pt>
                <c:pt idx="14">
                  <c:v>1336.3568943645259</c:v>
                </c:pt>
                <c:pt idx="15">
                  <c:v>1616.6993869687778</c:v>
                </c:pt>
                <c:pt idx="16">
                  <c:v>966.40312776586995</c:v>
                </c:pt>
                <c:pt idx="17">
                  <c:v>298.4149572576593</c:v>
                </c:pt>
                <c:pt idx="18">
                  <c:v>994.87343996418883</c:v>
                </c:pt>
                <c:pt idx="19">
                  <c:v>948.17304721538085</c:v>
                </c:pt>
                <c:pt idx="20">
                  <c:v>540.9153224658553</c:v>
                </c:pt>
                <c:pt idx="21">
                  <c:v>595.93467981765457</c:v>
                </c:pt>
                <c:pt idx="22">
                  <c:v>333.24200888339033</c:v>
                </c:pt>
                <c:pt idx="23">
                  <c:v>469.85758080071503</c:v>
                </c:pt>
                <c:pt idx="24">
                  <c:v>310.43291860036646</c:v>
                </c:pt>
                <c:pt idx="25">
                  <c:v>635.47919501076581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470-EC49-86B8-AA86F308A91F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Cumulative_rate_figures!$U$1:$U$26</c:f>
              <c:numCache>
                <c:formatCode>General</c:formatCode>
                <c:ptCount val="26"/>
                <c:pt idx="0">
                  <c:v>96</c:v>
                </c:pt>
                <c:pt idx="2">
                  <c:v>171.89008369650165</c:v>
                </c:pt>
                <c:pt idx="3">
                  <c:v>205.07744198612698</c:v>
                </c:pt>
                <c:pt idx="4">
                  <c:v>214.40163444150238</c:v>
                </c:pt>
                <c:pt idx="5">
                  <c:v>124.88990489901849</c:v>
                </c:pt>
                <c:pt idx="6">
                  <c:v>139.74007980789909</c:v>
                </c:pt>
                <c:pt idx="7">
                  <c:v>121.39185758874287</c:v>
                </c:pt>
                <c:pt idx="8">
                  <c:v>110.6892515413398</c:v>
                </c:pt>
                <c:pt idx="9">
                  <c:v>117.12140865926288</c:v>
                </c:pt>
                <c:pt idx="10">
                  <c:v>1442.5265746141533</c:v>
                </c:pt>
                <c:pt idx="11">
                  <c:v>881.63791881753775</c:v>
                </c:pt>
                <c:pt idx="12">
                  <c:v>779.52229854206394</c:v>
                </c:pt>
                <c:pt idx="13">
                  <c:v>925.55011632702622</c:v>
                </c:pt>
                <c:pt idx="14">
                  <c:v>1393.4988740657061</c:v>
                </c:pt>
                <c:pt idx="15">
                  <c:v>1683.7254972629803</c:v>
                </c:pt>
                <c:pt idx="16">
                  <c:v>1015.1529447101592</c:v>
                </c:pt>
                <c:pt idx="17">
                  <c:v>316.66412749421841</c:v>
                </c:pt>
                <c:pt idx="18">
                  <c:v>1030.7601154429401</c:v>
                </c:pt>
                <c:pt idx="19">
                  <c:v>984.91164567110775</c:v>
                </c:pt>
                <c:pt idx="20">
                  <c:v>592.20484158173485</c:v>
                </c:pt>
                <c:pt idx="21">
                  <c:v>644.84069822908805</c:v>
                </c:pt>
                <c:pt idx="22">
                  <c:v>348.83075787470818</c:v>
                </c:pt>
                <c:pt idx="23">
                  <c:v>490.20032681084166</c:v>
                </c:pt>
                <c:pt idx="24">
                  <c:v>324.27551384446451</c:v>
                </c:pt>
                <c:pt idx="25">
                  <c:v>654.86741730068286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470-EC49-86B8-AA86F308A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41296"/>
        <c:axId val="1045873439"/>
      </c:scatterChart>
      <c:valAx>
        <c:axId val="21370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873439"/>
        <c:crosses val="autoZero"/>
        <c:crossBetween val="midCat"/>
      </c:valAx>
      <c:valAx>
        <c:axId val="10458734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830986</xdr:colOff>
      <xdr:row>0</xdr:row>
      <xdr:rowOff>196301</xdr:rowOff>
    </xdr:from>
    <xdr:to>
      <xdr:col>32</xdr:col>
      <xdr:colOff>286925</xdr:colOff>
      <xdr:row>19</xdr:row>
      <xdr:rowOff>219506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E6C449-5F06-98AD-EFB4-A3A162E88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141109</xdr:colOff>
      <xdr:row>40</xdr:row>
      <xdr:rowOff>180622</xdr:rowOff>
    </xdr:from>
    <xdr:to>
      <xdr:col>34</xdr:col>
      <xdr:colOff>396677</xdr:colOff>
      <xdr:row>69</xdr:row>
      <xdr:rowOff>62716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CB406A-6D2D-727E-2E43-1D4E3B5CF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826283</xdr:colOff>
      <xdr:row>18</xdr:row>
      <xdr:rowOff>15680</xdr:rowOff>
    </xdr:from>
    <xdr:to>
      <xdr:col>33</xdr:col>
      <xdr:colOff>94073</xdr:colOff>
      <xdr:row>39</xdr:row>
      <xdr:rowOff>70243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D26A23-ADA2-71AC-AF2E-4805684F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595068</xdr:colOff>
      <xdr:row>0</xdr:row>
      <xdr:rowOff>56030</xdr:rowOff>
    </xdr:from>
    <xdr:to>
      <xdr:col>33</xdr:col>
      <xdr:colOff>56030</xdr:colOff>
      <xdr:row>19</xdr:row>
      <xdr:rowOff>890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A2FE2-B5B9-A79F-6432-BB8D269A0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505753</xdr:colOff>
      <xdr:row>20</xdr:row>
      <xdr:rowOff>123629</xdr:rowOff>
    </xdr:from>
    <xdr:to>
      <xdr:col>28</xdr:col>
      <xdr:colOff>438319</xdr:colOff>
      <xdr:row>34</xdr:row>
      <xdr:rowOff>62262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110B2-8208-381E-CDDF-8BE95FA9A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168584</xdr:colOff>
      <xdr:row>15</xdr:row>
      <xdr:rowOff>123627</xdr:rowOff>
    </xdr:from>
    <xdr:to>
      <xdr:col>32</xdr:col>
      <xdr:colOff>741771</xdr:colOff>
      <xdr:row>36</xdr:row>
      <xdr:rowOff>67432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53FEAE-794D-6D46-5F5C-C26763792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640620</xdr:colOff>
      <xdr:row>28</xdr:row>
      <xdr:rowOff>78671</xdr:rowOff>
    </xdr:from>
    <xdr:to>
      <xdr:col>19</xdr:col>
      <xdr:colOff>157346</xdr:colOff>
      <xdr:row>55</xdr:row>
      <xdr:rowOff>112388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96A8A-6FBA-4B54-50B0-5450B443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yobrien/Desktop/incubation_physical_chem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ubation_physical_chemical"/>
      <sheetName val="pH_post"/>
      <sheetName val="pH_both"/>
      <sheetName val="EC_pre"/>
      <sheetName val="EC_both"/>
      <sheetName val="GWC_both"/>
      <sheetName val="EC_post"/>
      <sheetName val="pH_pre"/>
      <sheetName val="TC_TN"/>
      <sheetName val="copy_numbers"/>
      <sheetName val="copynumber_all"/>
      <sheetName val="copynumber_crrel"/>
      <sheetName val="crrel_OTU"/>
      <sheetName val="CRREL_final_absabund"/>
      <sheetName val="copynumber_FL"/>
      <sheetName val="FL_OTU_new"/>
      <sheetName val="FL_final_absabund"/>
      <sheetName val="copynumber_UT"/>
      <sheetName val="UT_OTU_new"/>
      <sheetName val="UT_final_absabund"/>
      <sheetName val="abs_abund_all"/>
      <sheetName val="copynumb_diff"/>
      <sheetName val="avg_cpynumb"/>
      <sheetName val="Respiration_cum_forcopynumb"/>
      <sheetName val="Respiration_cum"/>
      <sheetName val="Resp_TC_TN"/>
      <sheetName val="Resp_TC_TN_check"/>
      <sheetName val="DOC_TDN_post"/>
      <sheetName val="DOC_TDN_pre"/>
      <sheetName val="DOC_TDN_diff"/>
      <sheetName val="DOC_TDN_resp"/>
      <sheetName val="Texture"/>
    </sheetNames>
    <sheetDataSet>
      <sheetData sheetId="0">
        <row r="2">
          <cell r="I2">
            <v>0.54199999999999982</v>
          </cell>
        </row>
        <row r="3">
          <cell r="I3">
            <v>0.93400000000000016</v>
          </cell>
        </row>
        <row r="4">
          <cell r="I4">
            <v>0.81399999999999961</v>
          </cell>
        </row>
        <row r="5">
          <cell r="I5">
            <v>0.36500000000000021</v>
          </cell>
        </row>
        <row r="6">
          <cell r="I6">
            <v>0.44099999999999984</v>
          </cell>
        </row>
        <row r="7">
          <cell r="I7">
            <v>0.2710000000000008</v>
          </cell>
        </row>
        <row r="8">
          <cell r="I8">
            <v>0.20500000000000007</v>
          </cell>
        </row>
        <row r="9">
          <cell r="I9">
            <v>0.28000000000000114</v>
          </cell>
        </row>
        <row r="10">
          <cell r="I10">
            <v>3.3160000000000007</v>
          </cell>
        </row>
        <row r="11">
          <cell r="I11">
            <v>3.633999999999999</v>
          </cell>
        </row>
        <row r="12">
          <cell r="I12">
            <v>3.3149999999999995</v>
          </cell>
        </row>
        <row r="13">
          <cell r="I13">
            <v>4.0239999999999991</v>
          </cell>
        </row>
        <row r="14">
          <cell r="I14">
            <v>3.0100000000000007</v>
          </cell>
        </row>
        <row r="15">
          <cell r="I15">
            <v>3.0759999999999996</v>
          </cell>
        </row>
        <row r="16">
          <cell r="I16">
            <v>3.3050000000000006</v>
          </cell>
        </row>
        <row r="17">
          <cell r="I17">
            <v>0.3400000000000003</v>
          </cell>
        </row>
        <row r="18">
          <cell r="I18">
            <v>2.9300000000000006</v>
          </cell>
        </row>
        <row r="19">
          <cell r="I19">
            <v>2.3580000000000005</v>
          </cell>
        </row>
        <row r="20">
          <cell r="I20">
            <v>2.8620000000000001</v>
          </cell>
        </row>
        <row r="21">
          <cell r="I21">
            <v>3.3460000000000001</v>
          </cell>
        </row>
        <row r="22">
          <cell r="I22">
            <v>2.3029999999999999</v>
          </cell>
        </row>
        <row r="23">
          <cell r="I23">
            <v>2.9509999999999996</v>
          </cell>
        </row>
        <row r="24">
          <cell r="I24">
            <v>2.484</v>
          </cell>
        </row>
        <row r="25">
          <cell r="I25">
            <v>2.0529999999999999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7D2BB44A-9979-404D-AF02-45ED0669585A}" userId="S::jmo1056@usnh.edu::95b1195f-a313-4a17-a865-fbf58bce22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2-04-25T00:15:28.54" personId="{7D2BB44A-9979-404D-AF02-45ED0669585A}" id="{79C7D980-3BD5-4B44-99A7-EEB0C188F1A1}">
    <text xml:space="preserve">see comment in incubation physical chemical data sheet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07DC-8045-7F4D-BB6E-F065C41443C7}">
  <dimension ref="A1:IL37"/>
  <sheetViews>
    <sheetView tabSelected="1" topLeftCell="FE1" zoomScaleNormal="90" workbookViewId="0">
      <selection activeCell="FM2" sqref="FM2"/>
    </sheetView>
  </sheetViews>
  <sheetFormatPr baseColWidth="10" defaultRowHeight="16" x14ac:dyDescent="0.2"/>
  <cols>
    <col min="1" max="1" width="19.1640625" customWidth="1"/>
    <col min="2" max="2" width="14.33203125" bestFit="1" customWidth="1"/>
    <col min="3" max="3" width="12.6640625" bestFit="1" customWidth="1"/>
    <col min="4" max="5" width="12.6640625" customWidth="1"/>
    <col min="6" max="6" width="17.1640625" bestFit="1" customWidth="1"/>
    <col min="7" max="7" width="15.1640625" bestFit="1" customWidth="1"/>
    <col min="8" max="8" width="14.5" bestFit="1" customWidth="1"/>
    <col min="9" max="9" width="16.5" style="9" customWidth="1"/>
    <col min="10" max="10" width="19" style="10" customWidth="1"/>
    <col min="11" max="13" width="15" customWidth="1"/>
    <col min="16" max="16" width="12.83203125" style="32" customWidth="1"/>
    <col min="17" max="17" width="12.83203125" style="36" customWidth="1"/>
    <col min="18" max="18" width="12.83203125" style="10" bestFit="1" customWidth="1"/>
    <col min="19" max="21" width="15" customWidth="1"/>
    <col min="24" max="24" width="12.83203125" style="32" customWidth="1"/>
    <col min="25" max="25" width="12.83203125" style="36" customWidth="1"/>
    <col min="26" max="26" width="12.83203125" style="10" bestFit="1" customWidth="1"/>
    <col min="27" max="29" width="15" customWidth="1"/>
    <col min="32" max="32" width="12.83203125" style="32" customWidth="1"/>
    <col min="33" max="33" width="12.83203125" style="36" customWidth="1"/>
    <col min="34" max="34" width="19" customWidth="1"/>
    <col min="35" max="35" width="12.83203125" bestFit="1" customWidth="1"/>
    <col min="41" max="41" width="10.83203125" style="36"/>
    <col min="42" max="42" width="12.83203125" style="10" bestFit="1" customWidth="1"/>
    <col min="43" max="43" width="12.83203125" bestFit="1" customWidth="1"/>
    <col min="48" max="48" width="10.83203125" style="32"/>
    <col min="50" max="50" width="12.83203125" style="10" bestFit="1" customWidth="1"/>
    <col min="51" max="51" width="12.83203125" bestFit="1" customWidth="1"/>
    <col min="56" max="56" width="10.83203125" style="32"/>
    <col min="58" max="58" width="12.83203125" style="10" bestFit="1" customWidth="1"/>
    <col min="59" max="59" width="12.83203125" bestFit="1" customWidth="1"/>
    <col min="64" max="64" width="10.83203125" style="32"/>
    <col min="66" max="66" width="12.83203125" style="10" bestFit="1" customWidth="1"/>
    <col min="67" max="67" width="12.83203125" bestFit="1" customWidth="1"/>
    <col min="72" max="72" width="10.83203125" style="32"/>
    <col min="73" max="73" width="10.83203125" style="36"/>
    <col min="74" max="74" width="12.83203125" style="10" bestFit="1" customWidth="1"/>
    <col min="75" max="75" width="12.83203125" bestFit="1" customWidth="1"/>
    <col min="80" max="80" width="10.83203125" style="32"/>
    <col min="82" max="82" width="12.83203125" style="10" bestFit="1" customWidth="1"/>
    <col min="83" max="83" width="12.83203125" bestFit="1" customWidth="1"/>
    <col min="88" max="88" width="10.83203125" style="32"/>
    <col min="89" max="89" width="10.83203125" style="36"/>
    <col min="90" max="91" width="12.83203125" bestFit="1" customWidth="1"/>
    <col min="98" max="98" width="12.83203125" bestFit="1" customWidth="1"/>
    <col min="99" max="99" width="13.83203125" bestFit="1" customWidth="1"/>
    <col min="105" max="105" width="10.83203125" style="36"/>
    <col min="106" max="107" width="13.83203125" bestFit="1" customWidth="1"/>
    <col min="114" max="115" width="13.83203125" bestFit="1" customWidth="1"/>
    <col min="122" max="122" width="13.83203125" bestFit="1" customWidth="1"/>
    <col min="123" max="123" width="12.83203125" bestFit="1" customWidth="1"/>
    <col min="130" max="130" width="12.83203125" bestFit="1" customWidth="1"/>
    <col min="131" max="131" width="13.83203125" bestFit="1" customWidth="1"/>
    <col min="138" max="139" width="13.83203125" bestFit="1" customWidth="1"/>
    <col min="146" max="147" width="13.83203125" bestFit="1" customWidth="1"/>
    <col min="150" max="151" width="11" bestFit="1" customWidth="1"/>
    <col min="154" max="154" width="13.83203125" bestFit="1" customWidth="1"/>
    <col min="155" max="155" width="13.1640625" bestFit="1" customWidth="1"/>
    <col min="162" max="162" width="13.1640625" bestFit="1" customWidth="1"/>
    <col min="163" max="163" width="13.83203125" bestFit="1" customWidth="1"/>
    <col min="169" max="170" width="13.1640625" bestFit="1" customWidth="1"/>
    <col min="175" max="176" width="13.1640625" bestFit="1" customWidth="1"/>
    <col min="181" max="181" width="12.5" bestFit="1" customWidth="1"/>
    <col min="182" max="182" width="12.83203125" bestFit="1" customWidth="1"/>
    <col min="186" max="186" width="10.83203125" customWidth="1"/>
    <col min="187" max="187" width="12.5" bestFit="1" customWidth="1"/>
    <col min="188" max="188" width="12.83203125" bestFit="1" customWidth="1"/>
    <col min="194" max="194" width="13.6640625" bestFit="1" customWidth="1"/>
    <col min="202" max="203" width="11" bestFit="1" customWidth="1"/>
    <col min="205" max="206" width="12.83203125" bestFit="1" customWidth="1"/>
    <col min="207" max="208" width="11" bestFit="1" customWidth="1"/>
    <col min="212" max="212" width="12.83203125" bestFit="1" customWidth="1"/>
    <col min="218" max="218" width="13.83203125" bestFit="1" customWidth="1"/>
    <col min="236" max="236" width="12.83203125" bestFit="1" customWidth="1"/>
  </cols>
  <sheetData>
    <row r="1" spans="1:246" x14ac:dyDescent="0.2">
      <c r="J1" s="57" t="s">
        <v>44</v>
      </c>
      <c r="K1" s="57"/>
      <c r="L1" s="57"/>
      <c r="M1" s="57"/>
      <c r="N1" s="57"/>
      <c r="O1" s="57"/>
      <c r="P1" s="33"/>
      <c r="Q1" s="39"/>
      <c r="R1" s="57" t="s">
        <v>45</v>
      </c>
      <c r="S1" s="57"/>
      <c r="T1" s="57"/>
      <c r="U1" s="57"/>
      <c r="V1" s="57"/>
      <c r="W1" s="57"/>
      <c r="X1" s="33"/>
      <c r="Y1" s="39"/>
      <c r="Z1" s="57" t="s">
        <v>46</v>
      </c>
      <c r="AA1" s="57"/>
      <c r="AB1" s="57"/>
      <c r="AC1" s="57"/>
      <c r="AD1" s="57"/>
      <c r="AE1" s="57"/>
      <c r="AF1" s="33"/>
      <c r="AG1" s="39"/>
      <c r="AJ1" t="s">
        <v>47</v>
      </c>
      <c r="AP1" s="54" t="s">
        <v>50</v>
      </c>
      <c r="AQ1" s="55"/>
      <c r="AR1" s="55"/>
      <c r="AS1" s="55"/>
      <c r="AT1" s="55"/>
      <c r="AU1" s="55"/>
      <c r="AV1" s="56"/>
      <c r="AW1" s="38"/>
      <c r="AX1" s="54" t="s">
        <v>10</v>
      </c>
      <c r="AY1" s="55"/>
      <c r="AZ1" s="55"/>
      <c r="BA1" s="55"/>
      <c r="BB1" s="55"/>
      <c r="BC1" s="55"/>
      <c r="BD1" s="56"/>
      <c r="BE1" s="38"/>
      <c r="BF1" s="54" t="s">
        <v>51</v>
      </c>
      <c r="BG1" s="55"/>
      <c r="BH1" s="55"/>
      <c r="BI1" s="55"/>
      <c r="BJ1" s="55"/>
      <c r="BK1" s="55"/>
      <c r="BL1" s="56"/>
      <c r="BM1" s="38"/>
      <c r="BN1" s="54" t="s">
        <v>52</v>
      </c>
      <c r="BO1" s="55"/>
      <c r="BP1" s="55"/>
      <c r="BQ1" s="55"/>
      <c r="BR1" s="55"/>
      <c r="BS1" s="55"/>
      <c r="BT1" s="56"/>
      <c r="BU1" s="43"/>
      <c r="BV1" s="54" t="s">
        <v>53</v>
      </c>
      <c r="BW1" s="55"/>
      <c r="BX1" s="55"/>
      <c r="BY1" s="55"/>
      <c r="BZ1" s="55"/>
      <c r="CA1" s="55"/>
      <c r="CB1" s="56"/>
      <c r="CC1" s="38"/>
      <c r="CD1" s="54" t="s">
        <v>54</v>
      </c>
      <c r="CE1" s="55"/>
      <c r="CF1" s="55"/>
      <c r="CG1" s="55"/>
      <c r="CH1" s="55"/>
      <c r="CI1" s="55"/>
      <c r="CJ1" s="56"/>
      <c r="CK1" s="43"/>
      <c r="CL1" s="53" t="s">
        <v>55</v>
      </c>
      <c r="CM1" s="51"/>
      <c r="CN1" s="51"/>
      <c r="CO1" s="51"/>
      <c r="CP1" s="51"/>
      <c r="CQ1" s="51"/>
      <c r="CR1" s="52"/>
      <c r="CS1" s="37"/>
      <c r="CT1" s="53" t="s">
        <v>56</v>
      </c>
      <c r="CU1" s="51"/>
      <c r="CV1" s="51"/>
      <c r="CW1" s="51"/>
      <c r="CX1" s="51"/>
      <c r="CY1" s="51"/>
      <c r="CZ1" s="52"/>
      <c r="DA1" s="44"/>
      <c r="DB1" s="53" t="s">
        <v>14</v>
      </c>
      <c r="DC1" s="51"/>
      <c r="DD1" s="51"/>
      <c r="DE1" s="51"/>
      <c r="DF1" s="51"/>
      <c r="DG1" s="51"/>
      <c r="DH1" s="52"/>
      <c r="DI1" s="37"/>
      <c r="DJ1" s="53" t="s">
        <v>15</v>
      </c>
      <c r="DK1" s="51"/>
      <c r="DL1" s="51"/>
      <c r="DM1" s="51"/>
      <c r="DN1" s="51"/>
      <c r="DO1" s="51"/>
      <c r="DP1" s="52"/>
      <c r="DQ1" s="37"/>
      <c r="DR1" s="50" t="s">
        <v>57</v>
      </c>
      <c r="DS1" s="51"/>
      <c r="DT1" s="51"/>
      <c r="DU1" s="51"/>
      <c r="DV1" s="51"/>
      <c r="DW1" s="51"/>
      <c r="DX1" s="52"/>
      <c r="DY1" s="37"/>
      <c r="DZ1" s="50" t="s">
        <v>58</v>
      </c>
      <c r="EA1" s="51"/>
      <c r="EB1" s="51"/>
      <c r="EC1" s="51"/>
      <c r="ED1" s="51"/>
      <c r="EE1" s="51"/>
      <c r="EF1" s="52"/>
      <c r="EG1" s="37"/>
      <c r="EH1" s="50" t="s">
        <v>59</v>
      </c>
      <c r="EI1" s="51"/>
      <c r="EJ1" s="51"/>
      <c r="EK1" s="51"/>
      <c r="EL1" s="51"/>
      <c r="EM1" s="51"/>
      <c r="EN1" s="52"/>
      <c r="EO1" s="37"/>
      <c r="EP1" s="50" t="s">
        <v>60</v>
      </c>
      <c r="EQ1" s="51"/>
      <c r="ER1" s="51"/>
      <c r="ES1" s="51"/>
      <c r="ET1" s="51"/>
      <c r="EU1" s="51"/>
      <c r="EV1" s="52"/>
      <c r="EW1" s="37"/>
      <c r="EX1" s="50" t="s">
        <v>61</v>
      </c>
      <c r="EY1" s="51"/>
      <c r="EZ1" s="51"/>
      <c r="FA1" s="51"/>
      <c r="FB1" s="51"/>
      <c r="FC1" s="51"/>
      <c r="FD1" s="52"/>
      <c r="FE1" s="37"/>
      <c r="FF1" s="50" t="s">
        <v>16</v>
      </c>
      <c r="FG1" s="51"/>
      <c r="FH1" s="51"/>
      <c r="FI1" s="51"/>
      <c r="FJ1" s="51"/>
      <c r="FK1" s="51"/>
      <c r="FL1" s="52"/>
      <c r="FM1" s="50"/>
      <c r="FN1" s="51"/>
      <c r="FO1" s="51"/>
      <c r="FP1" s="51"/>
      <c r="FQ1" s="51"/>
      <c r="FR1" s="52"/>
      <c r="FS1" s="50"/>
      <c r="FT1" s="51"/>
      <c r="FU1" s="51"/>
      <c r="FV1" s="51"/>
      <c r="FW1" s="51"/>
      <c r="FX1" s="52"/>
      <c r="FY1" s="50"/>
      <c r="FZ1" s="51"/>
      <c r="GA1" s="51"/>
      <c r="GB1" s="51"/>
      <c r="GC1" s="51"/>
      <c r="GD1" s="52"/>
      <c r="GE1" s="50"/>
      <c r="GF1" s="51"/>
      <c r="GG1" s="51"/>
      <c r="GH1" s="51"/>
      <c r="GI1" s="51"/>
      <c r="GJ1" s="52"/>
      <c r="GK1" s="50"/>
      <c r="GL1" s="51"/>
      <c r="GM1" s="51"/>
      <c r="GN1" s="51"/>
      <c r="GO1" s="51"/>
      <c r="GP1" s="52"/>
      <c r="GQ1" s="50"/>
      <c r="GR1" s="51"/>
      <c r="GS1" s="51"/>
      <c r="GT1" s="51"/>
      <c r="GU1" s="51"/>
      <c r="GV1" s="52"/>
      <c r="GW1" s="50"/>
      <c r="GX1" s="51"/>
      <c r="GY1" s="51"/>
      <c r="GZ1" s="51"/>
      <c r="HA1" s="51"/>
      <c r="HB1" s="52"/>
      <c r="HC1" s="50"/>
      <c r="HD1" s="51"/>
      <c r="HE1" s="51"/>
      <c r="HF1" s="51"/>
      <c r="HG1" s="51"/>
      <c r="HH1" s="52"/>
      <c r="HI1" s="50"/>
      <c r="HJ1" s="51"/>
      <c r="HK1" s="51"/>
      <c r="HL1" s="51"/>
      <c r="HM1" s="51"/>
      <c r="HN1" s="52"/>
      <c r="HO1" s="50"/>
      <c r="HP1" s="51"/>
      <c r="HQ1" s="51"/>
      <c r="HR1" s="51"/>
      <c r="HS1" s="51"/>
      <c r="HT1" s="52"/>
      <c r="HU1" s="50"/>
      <c r="HV1" s="51"/>
      <c r="HW1" s="51"/>
      <c r="HX1" s="51"/>
      <c r="HY1" s="51"/>
      <c r="HZ1" s="52"/>
      <c r="IA1" s="50"/>
      <c r="IB1" s="51"/>
      <c r="IC1" s="51"/>
      <c r="ID1" s="51"/>
      <c r="IE1" s="51"/>
      <c r="IF1" s="52"/>
      <c r="IG1" s="50"/>
      <c r="IH1" s="51"/>
      <c r="II1" s="51"/>
      <c r="IJ1" s="51"/>
      <c r="IK1" s="51"/>
      <c r="IL1" s="52"/>
    </row>
    <row r="2" spans="1:246" ht="85" x14ac:dyDescent="0.2">
      <c r="A2" t="s">
        <v>0</v>
      </c>
      <c r="B2" s="4" t="s">
        <v>1</v>
      </c>
      <c r="C2" s="4" t="s">
        <v>2</v>
      </c>
      <c r="D2" s="4" t="s">
        <v>17</v>
      </c>
      <c r="E2" s="4" t="s">
        <v>18</v>
      </c>
      <c r="F2" s="4" t="s">
        <v>11</v>
      </c>
      <c r="G2" s="4" t="s">
        <v>63</v>
      </c>
      <c r="H2" s="4" t="s">
        <v>8</v>
      </c>
      <c r="I2" s="11" t="s">
        <v>7</v>
      </c>
      <c r="J2" s="3" t="s">
        <v>3</v>
      </c>
      <c r="K2" t="s">
        <v>4</v>
      </c>
      <c r="L2" s="4" t="s">
        <v>13</v>
      </c>
      <c r="M2" s="4" t="s">
        <v>62</v>
      </c>
      <c r="N2" s="4" t="s">
        <v>5</v>
      </c>
      <c r="O2" s="4" t="s">
        <v>6</v>
      </c>
      <c r="P2" s="5" t="s">
        <v>19</v>
      </c>
      <c r="Q2" s="40" t="s">
        <v>90</v>
      </c>
      <c r="R2" s="3" t="s">
        <v>3</v>
      </c>
      <c r="S2" t="s">
        <v>4</v>
      </c>
      <c r="T2" s="4" t="s">
        <v>13</v>
      </c>
      <c r="U2" s="4" t="s">
        <v>62</v>
      </c>
      <c r="V2" s="4" t="s">
        <v>5</v>
      </c>
      <c r="W2" s="4" t="s">
        <v>6</v>
      </c>
      <c r="X2" s="5" t="s">
        <v>19</v>
      </c>
      <c r="Y2" s="40" t="s">
        <v>90</v>
      </c>
      <c r="Z2" s="3" t="s">
        <v>3</v>
      </c>
      <c r="AA2" t="s">
        <v>4</v>
      </c>
      <c r="AB2" s="4" t="s">
        <v>13</v>
      </c>
      <c r="AC2" s="4" t="s">
        <v>62</v>
      </c>
      <c r="AD2" s="4" t="s">
        <v>5</v>
      </c>
      <c r="AE2" s="4" t="s">
        <v>6</v>
      </c>
      <c r="AF2" s="5" t="s">
        <v>19</v>
      </c>
      <c r="AG2" s="40" t="s">
        <v>90</v>
      </c>
      <c r="AH2" s="3" t="s">
        <v>3</v>
      </c>
      <c r="AI2" t="s">
        <v>4</v>
      </c>
      <c r="AJ2" s="4" t="s">
        <v>13</v>
      </c>
      <c r="AK2" s="4" t="s">
        <v>62</v>
      </c>
      <c r="AL2" s="4" t="s">
        <v>5</v>
      </c>
      <c r="AM2" s="4" t="s">
        <v>6</v>
      </c>
      <c r="AN2" s="5" t="s">
        <v>19</v>
      </c>
      <c r="AO2" s="40" t="s">
        <v>90</v>
      </c>
      <c r="AP2" s="3" t="s">
        <v>3</v>
      </c>
      <c r="AQ2" t="s">
        <v>4</v>
      </c>
      <c r="AR2" s="4" t="s">
        <v>13</v>
      </c>
      <c r="AS2" s="4" t="s">
        <v>62</v>
      </c>
      <c r="AT2" s="4" t="s">
        <v>5</v>
      </c>
      <c r="AU2" s="4" t="s">
        <v>6</v>
      </c>
      <c r="AV2" s="5" t="s">
        <v>19</v>
      </c>
      <c r="AW2" s="40" t="s">
        <v>90</v>
      </c>
      <c r="AX2" s="3" t="s">
        <v>3</v>
      </c>
      <c r="AY2" t="s">
        <v>4</v>
      </c>
      <c r="AZ2" s="4" t="s">
        <v>13</v>
      </c>
      <c r="BA2" s="4" t="s">
        <v>62</v>
      </c>
      <c r="BB2" s="4" t="s">
        <v>5</v>
      </c>
      <c r="BC2" s="4" t="s">
        <v>6</v>
      </c>
      <c r="BD2" s="5" t="s">
        <v>19</v>
      </c>
      <c r="BE2" s="40" t="s">
        <v>90</v>
      </c>
      <c r="BF2" s="3" t="s">
        <v>3</v>
      </c>
      <c r="BG2" t="s">
        <v>4</v>
      </c>
      <c r="BH2" s="4" t="s">
        <v>13</v>
      </c>
      <c r="BI2" s="4" t="s">
        <v>62</v>
      </c>
      <c r="BJ2" s="4" t="s">
        <v>5</v>
      </c>
      <c r="BK2" s="4" t="s">
        <v>6</v>
      </c>
      <c r="BL2" s="5" t="s">
        <v>19</v>
      </c>
      <c r="BM2" s="40" t="s">
        <v>90</v>
      </c>
      <c r="BN2" s="3" t="s">
        <v>3</v>
      </c>
      <c r="BO2" t="s">
        <v>4</v>
      </c>
      <c r="BP2" s="4" t="s">
        <v>13</v>
      </c>
      <c r="BQ2" s="4" t="s">
        <v>62</v>
      </c>
      <c r="BR2" s="4" t="s">
        <v>5</v>
      </c>
      <c r="BS2" s="4" t="s">
        <v>6</v>
      </c>
      <c r="BT2" s="5" t="s">
        <v>19</v>
      </c>
      <c r="BU2" s="40" t="s">
        <v>90</v>
      </c>
      <c r="BV2" s="3" t="s">
        <v>3</v>
      </c>
      <c r="BW2" t="s">
        <v>4</v>
      </c>
      <c r="BX2" s="4" t="s">
        <v>13</v>
      </c>
      <c r="BY2" s="4" t="s">
        <v>62</v>
      </c>
      <c r="BZ2" s="4" t="s">
        <v>5</v>
      </c>
      <c r="CA2" s="4" t="s">
        <v>6</v>
      </c>
      <c r="CB2" s="5" t="s">
        <v>19</v>
      </c>
      <c r="CC2" s="40" t="s">
        <v>90</v>
      </c>
      <c r="CD2" s="3" t="s">
        <v>3</v>
      </c>
      <c r="CE2" t="s">
        <v>4</v>
      </c>
      <c r="CF2" s="4" t="s">
        <v>13</v>
      </c>
      <c r="CG2" s="4" t="s">
        <v>62</v>
      </c>
      <c r="CH2" s="4" t="s">
        <v>5</v>
      </c>
      <c r="CI2" s="4" t="s">
        <v>6</v>
      </c>
      <c r="CJ2" s="5" t="s">
        <v>19</v>
      </c>
      <c r="CK2" s="40" t="s">
        <v>91</v>
      </c>
      <c r="CL2" s="16" t="s">
        <v>3</v>
      </c>
      <c r="CM2" s="17" t="s">
        <v>4</v>
      </c>
      <c r="CN2" s="4" t="s">
        <v>13</v>
      </c>
      <c r="CO2" s="4" t="s">
        <v>62</v>
      </c>
      <c r="CP2" s="18" t="s">
        <v>5</v>
      </c>
      <c r="CQ2" s="18" t="s">
        <v>6</v>
      </c>
      <c r="CR2" s="5" t="s">
        <v>19</v>
      </c>
      <c r="CS2" s="40" t="s">
        <v>90</v>
      </c>
      <c r="CT2" s="16" t="s">
        <v>3</v>
      </c>
      <c r="CU2" s="17" t="s">
        <v>4</v>
      </c>
      <c r="CV2" s="4" t="s">
        <v>13</v>
      </c>
      <c r="CW2" s="4" t="s">
        <v>62</v>
      </c>
      <c r="CX2" s="18" t="s">
        <v>5</v>
      </c>
      <c r="CY2" s="18" t="s">
        <v>6</v>
      </c>
      <c r="CZ2" s="5" t="s">
        <v>19</v>
      </c>
      <c r="DA2" s="40" t="s">
        <v>90</v>
      </c>
      <c r="DB2" s="16" t="s">
        <v>3</v>
      </c>
      <c r="DC2" s="17" t="s">
        <v>4</v>
      </c>
      <c r="DD2" s="4" t="s">
        <v>13</v>
      </c>
      <c r="DE2" s="4" t="s">
        <v>62</v>
      </c>
      <c r="DF2" s="18" t="s">
        <v>5</v>
      </c>
      <c r="DG2" s="18" t="s">
        <v>6</v>
      </c>
      <c r="DH2" s="5" t="s">
        <v>19</v>
      </c>
      <c r="DI2" s="40" t="s">
        <v>90</v>
      </c>
      <c r="DJ2" s="16" t="s">
        <v>3</v>
      </c>
      <c r="DK2" s="17" t="s">
        <v>4</v>
      </c>
      <c r="DL2" s="4" t="s">
        <v>13</v>
      </c>
      <c r="DM2" s="4" t="s">
        <v>62</v>
      </c>
      <c r="DN2" s="18" t="s">
        <v>5</v>
      </c>
      <c r="DO2" s="18" t="s">
        <v>6</v>
      </c>
      <c r="DP2" s="5" t="s">
        <v>19</v>
      </c>
      <c r="DQ2" s="40" t="s">
        <v>90</v>
      </c>
      <c r="DR2" s="16" t="s">
        <v>3</v>
      </c>
      <c r="DS2" s="17" t="s">
        <v>4</v>
      </c>
      <c r="DT2" s="18" t="s">
        <v>13</v>
      </c>
      <c r="DU2" s="18" t="s">
        <v>62</v>
      </c>
      <c r="DV2" s="18" t="s">
        <v>5</v>
      </c>
      <c r="DW2" s="18" t="s">
        <v>6</v>
      </c>
      <c r="DX2" s="5" t="s">
        <v>19</v>
      </c>
      <c r="DY2" s="40" t="s">
        <v>90</v>
      </c>
      <c r="DZ2" s="16" t="s">
        <v>3</v>
      </c>
      <c r="EA2" s="17" t="s">
        <v>4</v>
      </c>
      <c r="EB2" s="18" t="s">
        <v>13</v>
      </c>
      <c r="EC2" s="18" t="s">
        <v>62</v>
      </c>
      <c r="ED2" s="18" t="s">
        <v>5</v>
      </c>
      <c r="EE2" s="18" t="s">
        <v>6</v>
      </c>
      <c r="EF2" s="5" t="s">
        <v>19</v>
      </c>
      <c r="EG2" s="40" t="s">
        <v>90</v>
      </c>
      <c r="EH2" s="16" t="s">
        <v>3</v>
      </c>
      <c r="EI2" s="17" t="s">
        <v>4</v>
      </c>
      <c r="EJ2" s="18" t="s">
        <v>13</v>
      </c>
      <c r="EK2" s="18" t="s">
        <v>62</v>
      </c>
      <c r="EL2" s="18" t="s">
        <v>5</v>
      </c>
      <c r="EM2" s="18" t="s">
        <v>6</v>
      </c>
      <c r="EN2" s="5" t="s">
        <v>19</v>
      </c>
      <c r="EO2" s="40" t="s">
        <v>90</v>
      </c>
      <c r="EP2" s="16" t="s">
        <v>3</v>
      </c>
      <c r="EQ2" s="17" t="s">
        <v>4</v>
      </c>
      <c r="ER2" s="18" t="s">
        <v>13</v>
      </c>
      <c r="ES2" s="18" t="s">
        <v>62</v>
      </c>
      <c r="ET2" s="18" t="s">
        <v>5</v>
      </c>
      <c r="EU2" s="18" t="s">
        <v>6</v>
      </c>
      <c r="EV2" s="5" t="s">
        <v>19</v>
      </c>
      <c r="EW2" s="40" t="s">
        <v>90</v>
      </c>
      <c r="EX2" s="16" t="s">
        <v>3</v>
      </c>
      <c r="EY2" s="17" t="s">
        <v>4</v>
      </c>
      <c r="EZ2" s="18" t="s">
        <v>13</v>
      </c>
      <c r="FA2" s="18" t="s">
        <v>62</v>
      </c>
      <c r="FB2" s="18" t="s">
        <v>5</v>
      </c>
      <c r="FC2" s="18" t="s">
        <v>6</v>
      </c>
      <c r="FD2" s="5" t="s">
        <v>19</v>
      </c>
      <c r="FE2" s="40" t="s">
        <v>90</v>
      </c>
      <c r="FF2" s="16" t="s">
        <v>3</v>
      </c>
      <c r="FG2" s="17" t="s">
        <v>4</v>
      </c>
      <c r="FH2" s="18" t="s">
        <v>13</v>
      </c>
      <c r="FI2" s="18" t="s">
        <v>62</v>
      </c>
      <c r="FJ2" s="18" t="s">
        <v>5</v>
      </c>
      <c r="FK2" s="18" t="s">
        <v>6</v>
      </c>
      <c r="FL2" s="5" t="s">
        <v>19</v>
      </c>
      <c r="FM2" s="40" t="s">
        <v>90</v>
      </c>
      <c r="FN2" s="17"/>
      <c r="FO2" s="18"/>
      <c r="FP2" s="18"/>
      <c r="FQ2" s="18"/>
      <c r="FR2" s="5"/>
      <c r="FS2" s="16"/>
      <c r="FT2" s="17"/>
      <c r="FU2" s="18"/>
      <c r="FV2" s="18"/>
      <c r="FW2" s="18"/>
      <c r="FX2" s="5"/>
      <c r="FY2" s="16"/>
      <c r="FZ2" s="17"/>
      <c r="GA2" s="18"/>
      <c r="GB2" s="18"/>
      <c r="GC2" s="18"/>
      <c r="GD2" s="5"/>
      <c r="GE2" s="16"/>
      <c r="GF2" s="17"/>
      <c r="GG2" s="18"/>
      <c r="GH2" s="18"/>
      <c r="GI2" s="18"/>
      <c r="GJ2" s="5"/>
      <c r="GK2" s="16"/>
      <c r="GL2" s="17"/>
      <c r="GM2" s="18"/>
      <c r="GN2" s="18"/>
      <c r="GO2" s="18"/>
      <c r="GP2" s="5"/>
      <c r="GQ2" s="16"/>
      <c r="GR2" s="17"/>
      <c r="GS2" s="18"/>
      <c r="GT2" s="18"/>
      <c r="GU2" s="18"/>
      <c r="GV2" s="5"/>
      <c r="GW2" s="16"/>
      <c r="GX2" s="17"/>
      <c r="GY2" s="18"/>
      <c r="GZ2" s="18"/>
      <c r="HA2" s="18"/>
      <c r="HB2" s="5"/>
      <c r="HC2" s="16"/>
      <c r="HD2" s="17"/>
      <c r="HE2" s="18"/>
      <c r="HF2" s="18"/>
      <c r="HG2" s="18"/>
      <c r="HH2" s="5"/>
      <c r="HI2" s="16"/>
      <c r="HJ2" s="17"/>
      <c r="HK2" s="18"/>
      <c r="HL2" s="18"/>
      <c r="HM2" s="18"/>
      <c r="HN2" s="5"/>
      <c r="HO2" s="16"/>
      <c r="HP2" s="17"/>
      <c r="HQ2" s="18"/>
      <c r="HR2" s="18"/>
      <c r="HS2" s="18"/>
      <c r="HT2" s="5"/>
      <c r="HU2" s="16"/>
      <c r="HV2" s="17"/>
      <c r="HW2" s="18"/>
      <c r="HX2" s="18"/>
      <c r="HY2" s="18"/>
      <c r="HZ2" s="5"/>
      <c r="IA2" s="16"/>
      <c r="IB2" s="17"/>
      <c r="IC2" s="18"/>
      <c r="ID2" s="18"/>
      <c r="IE2" s="18"/>
      <c r="IF2" s="5"/>
      <c r="IG2" s="16"/>
      <c r="IH2" s="17"/>
      <c r="II2" s="18"/>
      <c r="IJ2" s="18"/>
      <c r="IK2" s="18"/>
      <c r="IL2" s="5"/>
    </row>
    <row r="3" spans="1:246" ht="19" x14ac:dyDescent="0.25">
      <c r="A3" s="29" t="s">
        <v>20</v>
      </c>
      <c r="B3">
        <v>473.17599999999999</v>
      </c>
      <c r="C3">
        <f>Vol_soil_calc!L2</f>
        <v>24.308555134052163</v>
      </c>
      <c r="D3" s="28">
        <v>8.2057366080959995E-2</v>
      </c>
      <c r="E3">
        <v>275.14999999999998</v>
      </c>
      <c r="F3">
        <f t="shared" ref="F3:F26" si="0">(B3-C3)/1000</f>
        <v>0.44886744486594787</v>
      </c>
      <c r="G3">
        <f>[1]incubation_physical_chemical!$I$2</f>
        <v>0.54199999999999982</v>
      </c>
      <c r="H3">
        <v>40.045999999999999</v>
      </c>
      <c r="I3" s="9">
        <f t="shared" ref="I3:I26" si="1">H3/(G3+1)</f>
        <v>25.970168612191962</v>
      </c>
      <c r="J3" s="6">
        <v>44447.815972222219</v>
      </c>
      <c r="K3" s="7">
        <v>44447.824999999997</v>
      </c>
      <c r="L3" s="9">
        <f>(K3-J3)</f>
        <v>9.0277777781011537E-3</v>
      </c>
      <c r="M3" s="9">
        <v>275.14999999999998</v>
      </c>
      <c r="N3" s="29">
        <v>88.638000000000005</v>
      </c>
      <c r="O3" s="29">
        <v>4.4999999999999998E-2</v>
      </c>
      <c r="P3" s="14">
        <f t="shared" ref="P3:P26" si="2">N3*($F3)*(1/$D3)*(1/$M3)*(1/$I3)*(12)*(1/(L3*24))</f>
        <v>3.7580741215410014</v>
      </c>
      <c r="Q3" s="41">
        <f>N3*($F3)*(1/$D3)*(1/$M3)*(1/$I3)*(12)</f>
        <v>0.81424939302971677</v>
      </c>
      <c r="R3" s="6"/>
      <c r="S3" s="30">
        <v>0.63541666666666663</v>
      </c>
      <c r="T3" s="9">
        <f t="shared" ref="T3:T20" si="3">(S3-R3)</f>
        <v>0.63541666666666663</v>
      </c>
      <c r="U3" s="9">
        <v>275.14999999999998</v>
      </c>
      <c r="V3">
        <v>1212.5619999999999</v>
      </c>
      <c r="W3">
        <v>0.80200000000000005</v>
      </c>
      <c r="X3" s="14">
        <f t="shared" ref="X3:X26" si="4">V3*($F3)*(1/$D3)*(1/$U3)*(1/$I3)*(12)*(1/(T3*24))</f>
        <v>0.73041823272400241</v>
      </c>
      <c r="Y3" s="36">
        <f>V3*($F3)*(1/$D3)*(1/$U3)*(1/$I3)*(12)</f>
        <v>11.138878049041036</v>
      </c>
      <c r="Z3" s="6">
        <v>44448.698611111111</v>
      </c>
      <c r="AA3" s="7">
        <v>44449.544444444444</v>
      </c>
      <c r="AB3" s="9">
        <f>(AA3-Z3)</f>
        <v>0.84583333333284827</v>
      </c>
      <c r="AC3">
        <v>278.97624999999999</v>
      </c>
      <c r="AD3">
        <v>726.25599999999997</v>
      </c>
      <c r="AE3">
        <v>0.39800000000000002</v>
      </c>
      <c r="AF3" s="14">
        <f t="shared" ref="AF3:AF26" si="5">AD3*($F3)*(1/$D3)*(1/$AC3)*(1/$I3)*(12)*(1/(AB3*24))</f>
        <v>0.32414063284581718</v>
      </c>
      <c r="AG3" s="41">
        <f>AD3*($F3)*(1/$D3)*(1/$AC3)*(1/$I3)*(12)</f>
        <v>6.5800548467663154</v>
      </c>
      <c r="AH3" s="7">
        <v>44449.625</v>
      </c>
      <c r="AI3" s="21">
        <v>44451.689583333333</v>
      </c>
      <c r="AJ3" s="9">
        <f t="shared" ref="AJ3:AJ19" si="6">(AI3-AH3)</f>
        <v>2.0645833333328483</v>
      </c>
      <c r="AK3" s="9">
        <v>275.30391666666662</v>
      </c>
      <c r="AL3">
        <v>336.55799999999999</v>
      </c>
      <c r="AM3">
        <v>5.5E-2</v>
      </c>
      <c r="AN3" s="14">
        <f t="shared" ref="AN3:AN26" si="7">AL3*($F3)*(1/$D3)*(1/$AK3)*(1/$I3)*(12)*(1/(AJ3*24))</f>
        <v>6.2360685685058759E-2</v>
      </c>
      <c r="AO3" s="41">
        <f>AL3*($F3)*(1/$D3)*(1/$AK3)*(1/$I3)*(12)</f>
        <v>3.0899719756939357</v>
      </c>
      <c r="AP3" s="21">
        <v>44451.785416666666</v>
      </c>
      <c r="AQ3" s="21">
        <v>44453.59652777778</v>
      </c>
      <c r="AR3" s="9">
        <f>(AQ3-AP3)</f>
        <v>1.8111111111138598</v>
      </c>
      <c r="AS3" s="9">
        <v>275.34574999999995</v>
      </c>
      <c r="AT3">
        <v>265.74799999999999</v>
      </c>
      <c r="AU3">
        <v>0.02</v>
      </c>
      <c r="AV3" s="14">
        <f t="shared" ref="AV3:AV26" si="8">AT3*($F3)*(1/$D3)*(1/$AS3)*(1/$I3)*(12)*(1/(AR3*24))</f>
        <v>5.6123184183930849E-2</v>
      </c>
      <c r="AW3" s="41">
        <f>AT3*($F3)*(1/$D3)*(1/$AS3)*(1/$I3)*(12)</f>
        <v>2.4394877391985634</v>
      </c>
      <c r="AX3" s="21">
        <v>44453.792361111111</v>
      </c>
      <c r="AY3" s="21">
        <v>44456.554166666669</v>
      </c>
      <c r="AZ3" s="9">
        <f t="shared" ref="AZ3:AZ19" si="9">(AY3-AX3)</f>
        <v>2.7618055555576575</v>
      </c>
      <c r="BA3" s="9">
        <v>275.28258333333332</v>
      </c>
      <c r="BB3">
        <v>388.54399999999998</v>
      </c>
      <c r="BC3">
        <v>4.4999999999999998E-2</v>
      </c>
      <c r="BD3" s="14">
        <f t="shared" ref="BD3:BD26" si="10">BB3*($F3)*(1/$D3)*(1/$BA3)*(1/$I3)*(12)*(1/(AZ3*24))</f>
        <v>5.3822534338669334E-2</v>
      </c>
      <c r="BE3" s="41">
        <f>BB3*($F3)*(1/$D3)*(1/$BA3)*(1/$I3)*(12)</f>
        <v>3.5675369844175142</v>
      </c>
      <c r="BF3" s="21">
        <v>44456.599305555559</v>
      </c>
      <c r="BG3" s="21">
        <v>44459.628472222219</v>
      </c>
      <c r="BH3" s="9">
        <f>(BG3-BF3)</f>
        <v>3.0291666666598758</v>
      </c>
      <c r="BI3" s="9">
        <v>274.02612499999998</v>
      </c>
      <c r="BJ3">
        <v>188.541</v>
      </c>
      <c r="BK3">
        <v>0.06</v>
      </c>
      <c r="BL3" s="14">
        <f t="shared" ref="BL3:BL26" si="11">BJ3*($F3)*(1/$D3)*(1/$BI3)*(1/$I3)*(12)*(1/(BH3*24))</f>
        <v>2.3921391475240156E-2</v>
      </c>
      <c r="BM3" s="41">
        <f>BJ3*($F3)*(1/$D3)*(1/$BI3)*(1/$I3)*(12)</f>
        <v>1.7390851602460606</v>
      </c>
      <c r="BN3" s="21">
        <v>44459.659722222219</v>
      </c>
      <c r="BO3" s="21">
        <v>44461.474999999999</v>
      </c>
      <c r="BP3" s="9">
        <f t="shared" ref="BP3:BP19" si="12">(BO3-BN3)</f>
        <v>1.8152777777795563</v>
      </c>
      <c r="BQ3" s="9">
        <v>276.14041666666662</v>
      </c>
      <c r="BR3">
        <v>263.02300000000002</v>
      </c>
      <c r="BS3">
        <v>2.9000000000000001E-2</v>
      </c>
      <c r="BT3" s="14">
        <f t="shared" ref="BT3:BT26" si="13">BR3*($F3)*(1/$D3)*(1/$BQ3)*(1/$I3)*(12)*(1/(BP3*24))</f>
        <v>5.5260706207605439E-2</v>
      </c>
      <c r="BU3" s="41">
        <f>BR3*($F3)*(1/$D3)*(1/$BQ3)*(1/$I3)*(12)</f>
        <v>2.4075247671137023</v>
      </c>
      <c r="BV3" s="21">
        <v>44461.51458333333</v>
      </c>
      <c r="BW3" s="21">
        <v>44466.524305555555</v>
      </c>
      <c r="BX3" s="9">
        <f>(BW3-BV3)</f>
        <v>5.0097222222248092</v>
      </c>
      <c r="BY3" s="9">
        <v>276.28674999999998</v>
      </c>
      <c r="BZ3">
        <v>603.03599999999994</v>
      </c>
      <c r="CA3">
        <v>4.5999999999999999E-2</v>
      </c>
      <c r="CB3" s="14">
        <f t="shared" ref="CB3:CB26" si="14">BZ3*($F3)*(1/$D3)*(1/$BY3)*(1/$I3)*(12)*(1/(BX3*24))</f>
        <v>4.5884426345922776E-2</v>
      </c>
      <c r="CC3" s="41">
        <f>BZ3*($F3)*(1/$D3)*(1/$BY3)*(1/$I3)*(12)</f>
        <v>5.5168375276609645</v>
      </c>
      <c r="CD3" s="21">
        <v>44466.566666666666</v>
      </c>
      <c r="CE3" s="21">
        <v>44473.498611111114</v>
      </c>
      <c r="CF3" s="9">
        <f t="shared" ref="CF3:CF19" si="15">(CE3-CD3)</f>
        <v>6.9319444444481633</v>
      </c>
      <c r="CG3" s="9">
        <v>276.3075833333333</v>
      </c>
      <c r="CH3">
        <v>1982.8219999999999</v>
      </c>
      <c r="CI3">
        <v>3.7999999999999999E-2</v>
      </c>
      <c r="CJ3" s="14">
        <f t="shared" ref="CJ3:CJ26" si="16">CH3*($F3)*(1/$D3)*(1/$CG3)*(1/$I3)*(12)*(1/(CF3*24))</f>
        <v>0.1090263873587823</v>
      </c>
      <c r="CK3" s="41">
        <f>CH3*($F3)*(1/$D3)*(1/$CG3)*(1/$I3)*(12)</f>
        <v>18.138356643599145</v>
      </c>
      <c r="CL3" s="21">
        <v>44473.559027777781</v>
      </c>
      <c r="CM3" s="21">
        <v>44477.574999999997</v>
      </c>
      <c r="CN3" s="9">
        <f>(CM3-CL3)</f>
        <v>4.0159722222160781</v>
      </c>
      <c r="CO3" s="9">
        <v>276.45387499999998</v>
      </c>
      <c r="CP3">
        <v>2754.93</v>
      </c>
      <c r="CQ3">
        <v>4.3999999999999997E-2</v>
      </c>
      <c r="CR3" s="14">
        <f t="shared" ref="CR3:CR26" si="17">CP3*($F3)*(1/$D3)*(1/$CO3)*(1/$I3)*(12)*(1/(CN3*24))</f>
        <v>0.26133221960396924</v>
      </c>
      <c r="CS3" s="41">
        <f>CP3*($F3)*(1/$D3)*(1/$CO3)*(1/$I3)*(12)</f>
        <v>25.188070432790695</v>
      </c>
      <c r="CT3" s="21">
        <v>44477.634722222225</v>
      </c>
      <c r="CU3" s="21">
        <v>44483.503472222219</v>
      </c>
      <c r="CV3" s="9">
        <f t="shared" ref="CV3:CV19" si="18">(CU3-CT3)</f>
        <v>5.8687499999941792</v>
      </c>
      <c r="CW3" s="9">
        <v>277.06033333333329</v>
      </c>
      <c r="CX3">
        <v>2207.1930000000002</v>
      </c>
      <c r="CY3">
        <v>2.3E-2</v>
      </c>
      <c r="CZ3" s="14">
        <f t="shared" ref="CZ3:CZ26" si="19">CX3*($F3)*(1/$D3)*(1/$CW3)*(1/$I3)*(12)*(1/(CV3*24))</f>
        <v>0.14296051989045722</v>
      </c>
      <c r="DA3" s="41">
        <f>CX3*($F3)*(1/$D3)*(1/$CW3)*(1/$I3)*(12)</f>
        <v>20.135989226550929</v>
      </c>
      <c r="DB3" s="21">
        <v>44483.569444444445</v>
      </c>
      <c r="DC3" s="21">
        <v>44491.540972222225</v>
      </c>
      <c r="DD3" s="9">
        <f>(DC3-DB3)</f>
        <v>7.9715277777795563</v>
      </c>
      <c r="DE3" s="9">
        <v>277.24849999999998</v>
      </c>
      <c r="DF3">
        <v>2277.7249999999999</v>
      </c>
      <c r="DG3">
        <v>7.6999999999999999E-2</v>
      </c>
      <c r="DH3" s="14">
        <f t="shared" ref="DH3:DH26" si="20">DF3*($F3)*(1/$D3)*(1/$DE3)*(1/$I3)*(12)*(1/(DD3*24))</f>
        <v>0.10853911855397826</v>
      </c>
      <c r="DI3" s="41">
        <f>DF3*($F3)*(1/$D3)*(1/$DE3)*(1/$I3)*(12)</f>
        <v>20.765342364689907</v>
      </c>
      <c r="DJ3" s="21">
        <v>44491.589583333334</v>
      </c>
      <c r="DK3" s="21">
        <v>44498.609722222223</v>
      </c>
      <c r="DL3" s="9">
        <f t="shared" ref="DL3:DL19" si="21">(DK3-DJ3)</f>
        <v>7.0201388888890506</v>
      </c>
      <c r="DM3" s="9">
        <v>276.97687499999995</v>
      </c>
      <c r="DN3">
        <v>1161.8679999999999</v>
      </c>
      <c r="DO3">
        <v>3.1E-2</v>
      </c>
      <c r="DP3" s="14">
        <f t="shared" ref="DP3:DP26" si="22">DN3*($F3)*(1/$D3)*(1/$DM3)*(1/$I3)*(12)*(1/(DL3*24))</f>
        <v>6.2930813498466825E-2</v>
      </c>
      <c r="DQ3" s="41">
        <f>DN3*($F3)*(1/$D3)*(1/$DM3)*(1/$I3)*(12)</f>
        <v>10.602793227600262</v>
      </c>
      <c r="DR3" s="21">
        <v>44498.637499999997</v>
      </c>
      <c r="DS3" s="21">
        <v>44505.545138888891</v>
      </c>
      <c r="DT3" s="9">
        <f>(DS3-DR3)</f>
        <v>6.9076388888934162</v>
      </c>
      <c r="DU3" s="9">
        <v>276.60066666666665</v>
      </c>
      <c r="DV3">
        <v>791.54200000000003</v>
      </c>
      <c r="DW3">
        <v>2.1999999999999999E-2</v>
      </c>
      <c r="DX3" s="14">
        <f t="shared" ref="DX3:DX26" si="23">DV3*($F3)*(1/$D3)*(1/$DU3)*(1/$I3)*(12)*(1/(DT3*24))</f>
        <v>4.363016810069633E-2</v>
      </c>
      <c r="DY3" s="41">
        <f>DV3*($F3)*(1/$D3)*(1/$DU3)*(1/$I3)*(12)</f>
        <v>7.2331547016318476</v>
      </c>
      <c r="DZ3" s="21">
        <v>44505.579861111109</v>
      </c>
      <c r="EA3" s="21">
        <v>44512.586111111108</v>
      </c>
      <c r="EB3" s="9">
        <f t="shared" ref="EB3:EB19" si="24">(EA3-DZ3)</f>
        <v>7.0062499999985448</v>
      </c>
      <c r="EC3" s="9">
        <v>277.08091666666667</v>
      </c>
      <c r="ED3">
        <v>676.274</v>
      </c>
      <c r="EE3">
        <v>2.1000000000000001E-2</v>
      </c>
      <c r="EF3" s="14">
        <f t="shared" ref="EF3:EF26" si="25">ED3*($F3)*(1/$D3)*(1/$EC3)*(1/$I3)*(12)*(1/(EB3*24))</f>
        <v>3.6688184037120965E-2</v>
      </c>
      <c r="EG3" s="41">
        <f>ED3*($F3)*(1/$D3)*(1/$EC3)*(1/$I3)*(12)</f>
        <v>6.1691181458406081</v>
      </c>
      <c r="EH3" s="21">
        <v>44512.625694444447</v>
      </c>
      <c r="EI3" s="21">
        <v>44521.663888888892</v>
      </c>
      <c r="EJ3" s="9">
        <f>(EI3-EH3)</f>
        <v>9.0381944444452529</v>
      </c>
      <c r="EK3" s="9">
        <v>276.87229166666663</v>
      </c>
      <c r="EL3">
        <v>923.14499999999998</v>
      </c>
      <c r="EM3">
        <v>4.2999999999999997E-2</v>
      </c>
      <c r="EN3" s="14">
        <f t="shared" ref="EN3:EN26" si="26">EL3*($F3)*(1/$D3)*(1/$EK3)*(1/$I3)*(12)*(1/(EJ3*24))</f>
        <v>3.88512070986511E-2</v>
      </c>
      <c r="EO3" s="41">
        <f>EL3*($F3)*(1/$D3)*(1/$EK3)*(1/$I3)*(12)</f>
        <v>8.427474339816488</v>
      </c>
      <c r="EP3" s="21">
        <v>44521.722222222219</v>
      </c>
      <c r="EQ3" s="21">
        <v>44530.572916666664</v>
      </c>
      <c r="ER3" s="9">
        <f t="shared" ref="ER3:ER19" si="27">(EQ3-EP3)</f>
        <v>8.8506944444452529</v>
      </c>
      <c r="ES3" s="9">
        <v>276.64249999999998</v>
      </c>
      <c r="ET3">
        <v>795.35299999999995</v>
      </c>
      <c r="EU3">
        <v>3.4000000000000002E-2</v>
      </c>
      <c r="EV3" s="14">
        <f t="shared" ref="EV3:EV26" si="28">ET3*($F3)*(1/$D3)*(1/$ES3)*(1/$I3)*(12)*(1/(ER3*24))</f>
        <v>3.4210501913425111E-2</v>
      </c>
      <c r="EW3" s="41">
        <f>ET3*($F3)*(1/$D3)*(1/$ES3)*(1/$I3)*(12)</f>
        <v>7.2668807814440477</v>
      </c>
      <c r="EX3" s="21">
        <v>44530.611805555556</v>
      </c>
      <c r="EY3" s="21">
        <v>44539.613888888889</v>
      </c>
      <c r="EZ3" s="9">
        <f t="shared" ref="EZ3:EZ19" si="29">(EY3-EX3)</f>
        <v>9.0020833333328483</v>
      </c>
      <c r="FA3" s="9">
        <v>276.01466666666664</v>
      </c>
      <c r="FB3">
        <v>697.36</v>
      </c>
      <c r="FC3">
        <v>2.9000000000000001E-2</v>
      </c>
      <c r="FD3" s="14">
        <f t="shared" ref="FD3:FD26" si="30">FB3*($F3)*(1/$D3)*(1/$FA3)*(1/$I3)*(12)*(1/(EZ3*24))</f>
        <v>2.9558174918574421E-2</v>
      </c>
      <c r="FE3" s="41">
        <f>FB3*($F3)*(1/$D3)*(1/$FA3)*(1/$I3)*(12)</f>
        <v>6.3860436911576599</v>
      </c>
      <c r="FF3" s="21">
        <v>44539.627083333333</v>
      </c>
      <c r="FG3" s="21">
        <v>44543.531944444447</v>
      </c>
      <c r="FH3" s="9">
        <f>(FG3-FF3)</f>
        <v>3.9048611111138598</v>
      </c>
      <c r="FI3" s="9">
        <v>276.78899999999999</v>
      </c>
      <c r="FJ3">
        <v>469.04399999999998</v>
      </c>
      <c r="FK3">
        <v>2.1000000000000001E-2</v>
      </c>
      <c r="FL3" s="14">
        <f t="shared" ref="FL3:FL26" si="31">FJ3*($F3)*(1/$D3)*(1/$FI3)*(1/$I3)*(12)*(1/(FH3*24))</f>
        <v>4.5704076452525791E-2</v>
      </c>
      <c r="FM3" s="36">
        <f>FJ3*($F3)*(1/$D3)*(1/$FI3)*(1/$I3)*(12)</f>
        <v>4.2832336982122241</v>
      </c>
      <c r="FS3" s="7"/>
      <c r="FT3" s="7"/>
      <c r="FU3" s="9"/>
      <c r="FV3" s="1"/>
      <c r="FX3" s="14"/>
      <c r="GE3" s="7"/>
      <c r="GF3" s="7"/>
      <c r="GG3" s="9"/>
      <c r="GJ3" s="14"/>
      <c r="GK3" s="7"/>
      <c r="GL3" s="7"/>
      <c r="GM3" s="9"/>
      <c r="GP3" s="14"/>
      <c r="GQ3" s="7"/>
      <c r="GR3" s="7"/>
      <c r="GS3" s="9"/>
      <c r="GV3" s="14"/>
      <c r="GW3" s="7"/>
      <c r="GX3" s="7"/>
      <c r="GY3" s="9"/>
      <c r="HB3" s="14"/>
      <c r="HC3" s="7"/>
      <c r="HD3" s="7"/>
      <c r="HE3" s="9"/>
      <c r="HH3" s="14"/>
      <c r="HI3" s="7"/>
      <c r="HJ3" s="7"/>
      <c r="HK3" s="9"/>
      <c r="HN3" s="14"/>
      <c r="HO3" s="7"/>
      <c r="HP3" s="7"/>
      <c r="HQ3" s="9"/>
      <c r="HT3" s="14"/>
      <c r="HU3" s="7"/>
      <c r="HV3" s="7"/>
      <c r="HW3" s="9"/>
      <c r="HZ3" s="14"/>
      <c r="IG3" s="7"/>
      <c r="IH3" s="7"/>
      <c r="II3" s="9"/>
      <c r="IL3" s="14"/>
    </row>
    <row r="4" spans="1:246" ht="19" x14ac:dyDescent="0.25">
      <c r="A4" s="29" t="s">
        <v>21</v>
      </c>
      <c r="B4">
        <v>473.17599999999999</v>
      </c>
      <c r="C4">
        <f>Vol_soil_calc!L3</f>
        <v>26.629721182480502</v>
      </c>
      <c r="D4" s="28">
        <v>8.2057366080959995E-2</v>
      </c>
      <c r="E4">
        <v>275.14999999999998</v>
      </c>
      <c r="F4">
        <f t="shared" si="0"/>
        <v>0.44654627881751946</v>
      </c>
      <c r="G4">
        <f>[1]incubation_physical_chemical!$I$3</f>
        <v>0.93400000000000016</v>
      </c>
      <c r="H4">
        <v>38.780999999999999</v>
      </c>
      <c r="I4" s="9">
        <f t="shared" si="1"/>
        <v>20.052223371251291</v>
      </c>
      <c r="J4" s="6">
        <v>44447.815972222219</v>
      </c>
      <c r="K4" s="7">
        <v>44447.831250000003</v>
      </c>
      <c r="L4" s="9">
        <f t="shared" ref="L4:L14" si="32">(K4-J4)</f>
        <v>1.527777778392192E-2</v>
      </c>
      <c r="M4" s="9">
        <v>275.14999999999998</v>
      </c>
      <c r="N4" s="29">
        <v>126.593</v>
      </c>
      <c r="O4" s="29">
        <v>7.2999999999999995E-2</v>
      </c>
      <c r="P4" s="14">
        <f t="shared" si="2"/>
        <v>4.0863574966076159</v>
      </c>
      <c r="Q4" s="41">
        <f t="shared" ref="Q4:Q26" si="33">N4*($F4)*(1/$D4)*(1/$M4)*(1/$I4)*(12)</f>
        <v>1.4983310826920311</v>
      </c>
      <c r="R4" s="6"/>
      <c r="S4" s="30">
        <v>0.64027777777777783</v>
      </c>
      <c r="T4" s="9">
        <f t="shared" si="3"/>
        <v>0.64027777777777783</v>
      </c>
      <c r="U4" s="9">
        <v>275.14999999999998</v>
      </c>
      <c r="V4">
        <v>1456.4760000000001</v>
      </c>
      <c r="W4">
        <v>1.3320000000000001</v>
      </c>
      <c r="X4" s="14">
        <f t="shared" si="4"/>
        <v>1.1218163337678211</v>
      </c>
      <c r="Y4" s="36">
        <f t="shared" ref="Y4:Y26" si="34">V4*($F4)*(1/$D4)*(1/$U4)*(1/$I4)*(12)</f>
        <v>17.238577662232185</v>
      </c>
      <c r="Z4" s="6">
        <v>44448.698611111111</v>
      </c>
      <c r="AA4" s="7">
        <v>44449.55</v>
      </c>
      <c r="AB4" s="9">
        <f t="shared" ref="AB4:AB26" si="35">(AA4-Z4)</f>
        <v>0.85138888889196096</v>
      </c>
      <c r="AC4">
        <v>278.97624999999999</v>
      </c>
      <c r="AD4">
        <v>726.61699999999996</v>
      </c>
      <c r="AE4">
        <v>0.60399999999999998</v>
      </c>
      <c r="AF4" s="14">
        <f t="shared" si="5"/>
        <v>0.41511336551866185</v>
      </c>
      <c r="AG4" s="41">
        <f t="shared" ref="AG4:AG26" si="36">AD4*($F4)*(1/$D4)*(1/$AC4)*(1/$I4)*(12)</f>
        <v>8.4821497687952636</v>
      </c>
      <c r="AH4" s="7">
        <v>44449.633333333331</v>
      </c>
      <c r="AI4" s="21">
        <v>44451.685416666667</v>
      </c>
      <c r="AJ4" s="9">
        <f t="shared" si="6"/>
        <v>2.0520833333357587</v>
      </c>
      <c r="AK4" s="9">
        <v>275.30391666666662</v>
      </c>
      <c r="AL4">
        <v>438.30200000000002</v>
      </c>
      <c r="AM4">
        <v>4.9000000000000002E-2</v>
      </c>
      <c r="AN4" s="14">
        <f t="shared" si="7"/>
        <v>0.10527431925233935</v>
      </c>
      <c r="AO4" s="41">
        <f t="shared" ref="AO4:AO26" si="37">AL4*($F4)*(1/$D4)*(1/$AK4)*(1/$I4)*(12)</f>
        <v>5.1847602231838401</v>
      </c>
      <c r="AP4" s="21">
        <v>44451.785416666666</v>
      </c>
      <c r="AQ4" s="21">
        <v>44453.599999999999</v>
      </c>
      <c r="AR4" s="9">
        <f t="shared" ref="AR4:AR26" si="38">(AQ4-AP4)</f>
        <v>1.8145833333328483</v>
      </c>
      <c r="AS4" s="9">
        <v>275.34574999999995</v>
      </c>
      <c r="AT4">
        <v>354.84899999999999</v>
      </c>
      <c r="AU4">
        <v>7.0000000000000007E-2</v>
      </c>
      <c r="AV4" s="14">
        <f t="shared" si="8"/>
        <v>9.637062223886117E-2</v>
      </c>
      <c r="AW4" s="41">
        <f t="shared" ref="AW4:AW26" si="39">AT4*($F4)*(1/$D4)*(1/$AS4)*(1/$I4)*(12)</f>
        <v>4.196940598501282</v>
      </c>
      <c r="AX4" s="21">
        <v>44453.792361111111</v>
      </c>
      <c r="AY4" s="21">
        <v>44456.570138888892</v>
      </c>
      <c r="AZ4" s="9">
        <f t="shared" si="9"/>
        <v>2.7777777777810115</v>
      </c>
      <c r="BA4" s="9">
        <v>275.28258333333332</v>
      </c>
      <c r="BB4">
        <v>339.72899999999998</v>
      </c>
      <c r="BC4">
        <v>2.3E-2</v>
      </c>
      <c r="BD4" s="14">
        <f t="shared" si="10"/>
        <v>6.028548495919904E-2</v>
      </c>
      <c r="BE4" s="41">
        <f t="shared" ref="BE4:BE26" si="40">BB4*($F4)*(1/$D4)*(1/$BA4)*(1/$I4)*(12)</f>
        <v>4.0190323306179483</v>
      </c>
      <c r="BF4" s="21">
        <v>44456.599305555559</v>
      </c>
      <c r="BG4" s="21">
        <v>44459.622916666667</v>
      </c>
      <c r="BH4" s="9">
        <f t="shared" ref="BH4:BH26" si="41">(BG4-BF4)</f>
        <v>3.023611111108039</v>
      </c>
      <c r="BI4" s="9">
        <v>274.02612499999998</v>
      </c>
      <c r="BJ4">
        <v>183.245</v>
      </c>
      <c r="BK4">
        <v>1.9E-2</v>
      </c>
      <c r="BL4" s="14">
        <f t="shared" si="11"/>
        <v>3.0010318449997769E-2</v>
      </c>
      <c r="BM4" s="41">
        <f t="shared" ref="BM4:BM26" si="42">BJ4*($F4)*(1/$D4)*(1/$BI4)*(1/$I4)*(12)</f>
        <v>2.1777487755192921</v>
      </c>
      <c r="BN4" s="21">
        <v>44459.659722222219</v>
      </c>
      <c r="BO4" s="21">
        <v>44461.46875</v>
      </c>
      <c r="BP4" s="9">
        <f t="shared" si="12"/>
        <v>1.8090277777810115</v>
      </c>
      <c r="BQ4" s="9">
        <v>276.14041666666662</v>
      </c>
      <c r="BR4">
        <v>249.10300000000001</v>
      </c>
      <c r="BS4">
        <v>4.3999999999999997E-2</v>
      </c>
      <c r="BT4" s="14">
        <f t="shared" si="13"/>
        <v>6.7664381909853674E-2</v>
      </c>
      <c r="BU4" s="41">
        <f t="shared" ref="BU4:BU26" si="43">BR4*($F4)*(1/$D4)*(1/$BQ4)*(1/$I4)*(12)</f>
        <v>2.9377619145913982</v>
      </c>
      <c r="BV4" s="21">
        <v>44461.51458333333</v>
      </c>
      <c r="BW4" s="21">
        <v>44466.52847222222</v>
      </c>
      <c r="BX4" s="9">
        <f t="shared" ref="BX4:BX19" si="44">(BW4-BV4)</f>
        <v>5.0138888888905058</v>
      </c>
      <c r="BY4" s="9">
        <v>276.28674999999998</v>
      </c>
      <c r="BZ4">
        <v>441.34899999999999</v>
      </c>
      <c r="CA4">
        <v>3.1E-2</v>
      </c>
      <c r="CB4" s="14">
        <f t="shared" si="14"/>
        <v>4.323184360033E-2</v>
      </c>
      <c r="CC4" s="41">
        <f t="shared" ref="CC4:CC26" si="45">BZ4*($F4)*(1/$D4)*(1/$BY4)*(1/$I4)*(12)</f>
        <v>5.2022318465747208</v>
      </c>
      <c r="CD4" s="21">
        <v>44466.566666666666</v>
      </c>
      <c r="CE4" s="21">
        <v>44473.50277777778</v>
      </c>
      <c r="CF4" s="9">
        <f t="shared" si="15"/>
        <v>6.9361111111138598</v>
      </c>
      <c r="CG4" s="9">
        <v>276.3075833333333</v>
      </c>
      <c r="CH4">
        <v>1908.836</v>
      </c>
      <c r="CI4">
        <v>5.3999999999999999E-2</v>
      </c>
      <c r="CJ4" s="14">
        <f t="shared" si="16"/>
        <v>0.13515002911672311</v>
      </c>
      <c r="CK4" s="41">
        <f t="shared" ref="CK4:CK26" si="46">CH4*($F4)*(1/$D4)*(1/$CG4)*(1/$I4)*(12)</f>
        <v>22.497974846972756</v>
      </c>
      <c r="CL4" s="21">
        <v>44473.559027777781</v>
      </c>
      <c r="CM4" s="21">
        <v>44477.57916666667</v>
      </c>
      <c r="CN4" s="9">
        <f t="shared" ref="CN4:CN19" si="47">(CM4-CL4)</f>
        <v>4.0201388888890506</v>
      </c>
      <c r="CO4" s="9">
        <v>276.45387499999998</v>
      </c>
      <c r="CP4">
        <v>2111.6439999999998</v>
      </c>
      <c r="CQ4">
        <v>1.9E-2</v>
      </c>
      <c r="CR4" s="14">
        <f t="shared" si="17"/>
        <v>0.25781805995735169</v>
      </c>
      <c r="CS4" s="41">
        <f t="shared" ref="CS4:CS26" si="48">CP4*($F4)*(1/$D4)*(1/$CO4)*(1/$I4)*(12)</f>
        <v>24.87514581821948</v>
      </c>
      <c r="CT4" s="21">
        <v>44477.634722222225</v>
      </c>
      <c r="CU4" s="21">
        <v>44483.507638888892</v>
      </c>
      <c r="CV4" s="9">
        <f t="shared" si="18"/>
        <v>5.8729166666671517</v>
      </c>
      <c r="CW4" s="9">
        <v>277.06033333333329</v>
      </c>
      <c r="CX4">
        <v>2031.396</v>
      </c>
      <c r="CY4">
        <v>4.5999999999999999E-2</v>
      </c>
      <c r="CZ4" s="14">
        <f t="shared" si="19"/>
        <v>0.16940365434053581</v>
      </c>
      <c r="DA4" s="41">
        <f t="shared" ref="DA4:DA26" si="49">CX4*($F4)*(1/$D4)*(1/$CW4)*(1/$I4)*(12)</f>
        <v>23.877445079300493</v>
      </c>
      <c r="DB4" s="21">
        <v>44483.569444444445</v>
      </c>
      <c r="DC4" s="21">
        <v>44491.556944444441</v>
      </c>
      <c r="DD4" s="9">
        <f t="shared" ref="DD4:DD19" si="50">(DC4-DB4)</f>
        <v>7.9874999999956344</v>
      </c>
      <c r="DE4" s="9">
        <v>277.24849999999998</v>
      </c>
      <c r="DF4">
        <v>1437.923</v>
      </c>
      <c r="DG4">
        <v>2.1999999999999999E-2</v>
      </c>
      <c r="DH4" s="14">
        <f t="shared" si="20"/>
        <v>8.8107306880787856E-2</v>
      </c>
      <c r="DI4" s="41">
        <f t="shared" ref="DI4:DI26" si="51">DF4*($F4)*(1/$D4)*(1/$DE4)*(1/$I4)*(12)</f>
        <v>16.890170729037798</v>
      </c>
      <c r="DJ4" s="21">
        <v>44491.589583333334</v>
      </c>
      <c r="DK4" s="21">
        <v>44498.606249999997</v>
      </c>
      <c r="DL4" s="9">
        <f t="shared" si="21"/>
        <v>7.0166666666627862</v>
      </c>
      <c r="DM4" s="9">
        <v>276.97687499999995</v>
      </c>
      <c r="DN4">
        <v>1011.602</v>
      </c>
      <c r="DO4">
        <v>2.8000000000000001E-2</v>
      </c>
      <c r="DP4" s="14">
        <f t="shared" si="22"/>
        <v>7.0630404810431049E-2</v>
      </c>
      <c r="DQ4" s="41">
        <f t="shared" ref="DQ4:DQ26" si="52">DN4*($F4)*(1/$D4)*(1/$DM4)*(1/$I4)*(12)</f>
        <v>11.894160170070009</v>
      </c>
      <c r="DR4" s="21">
        <v>44498.637499999997</v>
      </c>
      <c r="DS4" s="21">
        <v>44505.540277777778</v>
      </c>
      <c r="DT4" s="9">
        <f t="shared" ref="DT4:DT26" si="53">(DS4-DR4)</f>
        <v>6.9027777777810115</v>
      </c>
      <c r="DU4" s="9">
        <v>276.60066666666665</v>
      </c>
      <c r="DV4">
        <v>831.93799999999999</v>
      </c>
      <c r="DW4">
        <v>0.02</v>
      </c>
      <c r="DX4" s="14">
        <f t="shared" si="23"/>
        <v>5.9124872813332528E-2</v>
      </c>
      <c r="DY4" s="41">
        <f t="shared" ref="DY4:DY26" si="54">DV4*($F4)*(1/$D4)*(1/$DU4)*(1/$I4)*(12)</f>
        <v>9.7950205960800112</v>
      </c>
      <c r="DZ4" s="21">
        <v>44505.579861111109</v>
      </c>
      <c r="EA4" s="21">
        <v>44512.581944444442</v>
      </c>
      <c r="EB4" s="9">
        <f t="shared" si="24"/>
        <v>7.0020833333328483</v>
      </c>
      <c r="EC4" s="9">
        <v>277.08091666666667</v>
      </c>
      <c r="ED4">
        <v>863.08199999999999</v>
      </c>
      <c r="EE4">
        <v>4.3999999999999997E-2</v>
      </c>
      <c r="EF4" s="14">
        <f t="shared" si="25"/>
        <v>6.0363517771280871E-2</v>
      </c>
      <c r="EG4" s="41">
        <f t="shared" ref="EG4:EG26" si="55">ED4*($F4)*(1/$D4)*(1/$EC4)*(1/$I4)*(12)</f>
        <v>10.144089161463048</v>
      </c>
      <c r="EH4" s="21">
        <v>44512.625694444447</v>
      </c>
      <c r="EI4" s="21">
        <v>44521.660416666666</v>
      </c>
      <c r="EJ4" s="9">
        <f t="shared" ref="EJ4:EJ26" si="56">(EI4-EH4)</f>
        <v>9.0347222222189885</v>
      </c>
      <c r="EK4" s="9">
        <v>276.87229166666663</v>
      </c>
      <c r="EL4">
        <v>762.91499999999996</v>
      </c>
      <c r="EM4">
        <v>2.8000000000000001E-2</v>
      </c>
      <c r="EN4" s="14">
        <f t="shared" si="26"/>
        <v>4.1384548982969158E-2</v>
      </c>
      <c r="EO4" s="41">
        <f t="shared" ref="EO4:EO26" si="57">EL4*($F4)*(1/$D4)*(1/$EK4)*(1/$I4)*(12)</f>
        <v>8.9735497044705994</v>
      </c>
      <c r="EP4" s="21">
        <v>44521.722222222219</v>
      </c>
      <c r="EQ4" s="21">
        <v>44530.564583333333</v>
      </c>
      <c r="ER4" s="9">
        <f t="shared" si="27"/>
        <v>8.8423611111138598</v>
      </c>
      <c r="ES4" s="9">
        <v>276.64249999999998</v>
      </c>
      <c r="ET4">
        <v>837.40800000000002</v>
      </c>
      <c r="EU4">
        <v>0.41299999999999998</v>
      </c>
      <c r="EV4" s="14">
        <f t="shared" si="28"/>
        <v>4.6452204621389846E-2</v>
      </c>
      <c r="EW4" s="41">
        <f t="shared" ref="EW4:EW26" si="58">ET4*($F4)*(1/$D4)*(1/$ES4)*(1/$I4)*(12)</f>
        <v>9.8579320240723458</v>
      </c>
      <c r="EX4" s="21">
        <v>44530.611805555556</v>
      </c>
      <c r="EY4" s="21">
        <v>44539.595138888886</v>
      </c>
      <c r="EZ4" s="9">
        <f t="shared" si="29"/>
        <v>8.9833333333299379</v>
      </c>
      <c r="FA4" s="9">
        <v>276.01466666666664</v>
      </c>
      <c r="FB4">
        <v>840.69399999999996</v>
      </c>
      <c r="FC4">
        <v>6.9000000000000006E-2</v>
      </c>
      <c r="FD4" s="14">
        <f t="shared" si="30"/>
        <v>4.6007077414583562E-2</v>
      </c>
      <c r="FE4" s="41">
        <f t="shared" ref="FE4:FE26" si="59">FB4*($F4)*(1/$D4)*(1/$FA4)*(1/$I4)*(12)</f>
        <v>9.9191258905804673</v>
      </c>
      <c r="FF4" s="21">
        <v>44539.627083333333</v>
      </c>
      <c r="FG4" s="21">
        <v>44543.509027777778</v>
      </c>
      <c r="FH4" s="9">
        <f t="shared" ref="FH4:FH26" si="60">(FG4-FF4)</f>
        <v>3.8819444444452529</v>
      </c>
      <c r="FI4" s="9">
        <v>276.78899999999999</v>
      </c>
      <c r="FJ4">
        <v>460.26</v>
      </c>
      <c r="FK4">
        <v>0.09</v>
      </c>
      <c r="FL4" s="14">
        <f t="shared" si="31"/>
        <v>5.8124798888918389E-2</v>
      </c>
      <c r="FM4" s="36">
        <f t="shared" ref="FM4:FM26" si="61">FJ4*($F4)*(1/$D4)*(1/$FI4)*(1/$I4)*(12)</f>
        <v>5.4152937631520244</v>
      </c>
      <c r="FS4" s="7"/>
      <c r="FT4" s="7"/>
      <c r="FU4" s="9"/>
      <c r="FV4" s="1"/>
      <c r="FX4" s="14"/>
      <c r="GE4" s="7"/>
      <c r="GF4" s="7"/>
      <c r="GG4" s="9"/>
      <c r="GJ4" s="14"/>
      <c r="GK4" s="7"/>
      <c r="GL4" s="7"/>
      <c r="GM4" s="9"/>
      <c r="GP4" s="14"/>
      <c r="GQ4" s="7"/>
      <c r="GR4" s="7"/>
      <c r="GS4" s="9"/>
      <c r="GV4" s="14"/>
      <c r="GW4" s="7"/>
      <c r="GX4" s="7"/>
      <c r="GY4" s="9"/>
      <c r="HB4" s="14"/>
      <c r="HC4" s="7"/>
      <c r="HD4" s="7"/>
      <c r="HE4" s="9"/>
      <c r="HH4" s="14"/>
      <c r="HI4" s="7"/>
      <c r="HJ4" s="7"/>
      <c r="HK4" s="9"/>
      <c r="HN4" s="14"/>
      <c r="HO4" s="7"/>
      <c r="HP4" s="7"/>
      <c r="HQ4" s="9"/>
      <c r="HT4" s="14"/>
      <c r="HU4" s="7"/>
      <c r="HV4" s="7"/>
      <c r="HW4" s="9"/>
      <c r="HZ4" s="14"/>
      <c r="IG4" s="7"/>
      <c r="IH4" s="7"/>
      <c r="II4" s="9"/>
      <c r="IL4" s="14"/>
    </row>
    <row r="5" spans="1:246" ht="19" x14ac:dyDescent="0.25">
      <c r="A5" s="29" t="s">
        <v>22</v>
      </c>
      <c r="B5">
        <v>473.17599999999999</v>
      </c>
      <c r="C5">
        <f>Vol_soil_calc!L4</f>
        <v>22.666660185008642</v>
      </c>
      <c r="D5" s="28">
        <v>8.2057366080959995E-2</v>
      </c>
      <c r="E5">
        <v>275.14999999999998</v>
      </c>
      <c r="F5">
        <f t="shared" si="0"/>
        <v>0.45050933981499136</v>
      </c>
      <c r="G5">
        <f>[1]incubation_physical_chemical!$I$4</f>
        <v>0.81399999999999961</v>
      </c>
      <c r="H5">
        <v>34.036999999999999</v>
      </c>
      <c r="I5" s="9">
        <f t="shared" si="1"/>
        <v>18.76350606394708</v>
      </c>
      <c r="J5" s="6">
        <v>44447.815972222219</v>
      </c>
      <c r="K5" s="7">
        <v>44447.839583333334</v>
      </c>
      <c r="L5" s="9">
        <f t="shared" si="32"/>
        <v>2.3611111115314998E-2</v>
      </c>
      <c r="M5" s="9">
        <v>275.14999999999998</v>
      </c>
      <c r="N5" s="29">
        <v>157.21299999999999</v>
      </c>
      <c r="O5" s="29">
        <v>5.5E-2</v>
      </c>
      <c r="P5" s="14">
        <f t="shared" si="2"/>
        <v>3.5403382056087884</v>
      </c>
      <c r="Q5" s="41">
        <f t="shared" si="33"/>
        <v>2.0061916502021764</v>
      </c>
      <c r="R5" s="6"/>
      <c r="S5" s="30">
        <v>0.64444444444444449</v>
      </c>
      <c r="T5" s="9">
        <f t="shared" si="3"/>
        <v>0.64444444444444449</v>
      </c>
      <c r="U5" s="9">
        <v>275.14999999999998</v>
      </c>
      <c r="V5">
        <v>1335.7739999999999</v>
      </c>
      <c r="W5">
        <v>0.82399999999999995</v>
      </c>
      <c r="X5" s="14">
        <f t="shared" si="4"/>
        <v>1.1020980234030564</v>
      </c>
      <c r="Y5" s="36">
        <f t="shared" si="34"/>
        <v>17.045782761967274</v>
      </c>
      <c r="Z5" s="6">
        <v>44448.698611111111</v>
      </c>
      <c r="AA5" s="7">
        <v>44449.554166666669</v>
      </c>
      <c r="AB5" s="9">
        <f t="shared" si="35"/>
        <v>0.8555555555576575</v>
      </c>
      <c r="AC5">
        <v>278.97624999999999</v>
      </c>
      <c r="AD5">
        <v>638.452</v>
      </c>
      <c r="AE5">
        <v>0.223</v>
      </c>
      <c r="AF5" s="14">
        <f t="shared" si="5"/>
        <v>0.39134072266932524</v>
      </c>
      <c r="AG5" s="41">
        <f t="shared" si="36"/>
        <v>8.0355295054965534</v>
      </c>
      <c r="AH5" s="7">
        <v>44449.625</v>
      </c>
      <c r="AI5" s="21">
        <v>44451.681250000001</v>
      </c>
      <c r="AJ5" s="9">
        <f t="shared" si="6"/>
        <v>2.0562500000014552</v>
      </c>
      <c r="AK5" s="9">
        <v>275.30391666666662</v>
      </c>
      <c r="AL5">
        <v>493.49299999999999</v>
      </c>
      <c r="AM5">
        <v>0.17899999999999999</v>
      </c>
      <c r="AN5" s="14">
        <f t="shared" si="7"/>
        <v>0.12753662799283194</v>
      </c>
      <c r="AO5" s="41">
        <f t="shared" si="37"/>
        <v>6.2939325914507105</v>
      </c>
      <c r="AP5" s="21">
        <v>44451.777777777781</v>
      </c>
      <c r="AQ5" s="21">
        <v>44453.606249999997</v>
      </c>
      <c r="AR5" s="9">
        <f t="shared" si="38"/>
        <v>1.8284722222160781</v>
      </c>
      <c r="AS5" s="9">
        <v>275.34574999999995</v>
      </c>
      <c r="AT5">
        <v>315.21199999999999</v>
      </c>
      <c r="AU5">
        <v>0.04</v>
      </c>
      <c r="AV5" s="14">
        <f t="shared" si="8"/>
        <v>9.1596364546795039E-2</v>
      </c>
      <c r="AW5" s="41">
        <f t="shared" si="39"/>
        <v>4.019553797515016</v>
      </c>
      <c r="AX5" s="21">
        <v>44453.792361111111</v>
      </c>
      <c r="AY5" s="21">
        <v>44456.566666666666</v>
      </c>
      <c r="AZ5" s="9">
        <f t="shared" si="9"/>
        <v>2.7743055555547471</v>
      </c>
      <c r="BA5" s="9">
        <v>275.28258333333332</v>
      </c>
      <c r="BB5">
        <v>452.54599999999999</v>
      </c>
      <c r="BC5">
        <v>5.8000000000000003E-2</v>
      </c>
      <c r="BD5" s="14">
        <f t="shared" si="10"/>
        <v>8.6690586799360606E-2</v>
      </c>
      <c r="BE5" s="41">
        <f t="shared" si="40"/>
        <v>5.772148237722412</v>
      </c>
      <c r="BF5" s="21">
        <v>44456.599305555559</v>
      </c>
      <c r="BG5" s="21">
        <v>44459.617361111108</v>
      </c>
      <c r="BH5" s="9">
        <f t="shared" si="41"/>
        <v>3.0180555555489263</v>
      </c>
      <c r="BI5" s="9">
        <v>274.02612499999998</v>
      </c>
      <c r="BJ5">
        <v>220.40100000000001</v>
      </c>
      <c r="BK5">
        <v>4.1000000000000002E-2</v>
      </c>
      <c r="BL5" s="14">
        <f t="shared" si="11"/>
        <v>3.8988506575201025E-2</v>
      </c>
      <c r="BM5" s="41">
        <f t="shared" si="42"/>
        <v>2.8240674929241911</v>
      </c>
      <c r="BN5" s="21">
        <v>44459.659722222219</v>
      </c>
      <c r="BO5" s="21">
        <v>44461.492361111108</v>
      </c>
      <c r="BP5" s="9">
        <f t="shared" si="12"/>
        <v>1.8326388888890506</v>
      </c>
      <c r="BQ5" s="9">
        <v>276.14041666666662</v>
      </c>
      <c r="BR5">
        <v>272.43700000000001</v>
      </c>
      <c r="BS5">
        <v>1.7000000000000001E-2</v>
      </c>
      <c r="BT5" s="14">
        <f t="shared" si="13"/>
        <v>7.8759228663851377E-2</v>
      </c>
      <c r="BU5" s="41">
        <f t="shared" si="43"/>
        <v>3.464093407398702</v>
      </c>
      <c r="BV5" s="21">
        <v>44461.51458333333</v>
      </c>
      <c r="BW5" s="21">
        <v>44466.53125</v>
      </c>
      <c r="BX5" s="9">
        <f t="shared" si="44"/>
        <v>5.0166666666700621</v>
      </c>
      <c r="BY5" s="9">
        <v>276.28674999999998</v>
      </c>
      <c r="BZ5">
        <v>547.27300000000002</v>
      </c>
      <c r="CA5">
        <v>0.02</v>
      </c>
      <c r="CB5" s="14">
        <f t="shared" si="14"/>
        <v>5.7765822091190633E-2</v>
      </c>
      <c r="CC5" s="41">
        <f t="shared" si="45"/>
        <v>6.9550049797840598</v>
      </c>
      <c r="CD5" s="21">
        <v>44466.566666666666</v>
      </c>
      <c r="CE5" s="21">
        <v>44473.506249999999</v>
      </c>
      <c r="CF5" s="9">
        <f t="shared" si="15"/>
        <v>6.9395833333328483</v>
      </c>
      <c r="CG5" s="9">
        <v>276.3075833333333</v>
      </c>
      <c r="CH5">
        <v>2107.2489999999998</v>
      </c>
      <c r="CI5">
        <v>3.6999999999999998E-2</v>
      </c>
      <c r="CJ5" s="14">
        <f t="shared" si="16"/>
        <v>0.16077995231157391</v>
      </c>
      <c r="CK5" s="41">
        <f t="shared" si="46"/>
        <v>26.777901057490759</v>
      </c>
      <c r="CL5" s="21">
        <v>44473.559027777781</v>
      </c>
      <c r="CM5" s="21">
        <v>44477.584027777775</v>
      </c>
      <c r="CN5" s="9">
        <f t="shared" si="47"/>
        <v>4.0249999999941792</v>
      </c>
      <c r="CO5" s="9">
        <v>276.45387499999998</v>
      </c>
      <c r="CP5">
        <v>1857.636</v>
      </c>
      <c r="CQ5">
        <v>1.7999999999999999E-2</v>
      </c>
      <c r="CR5" s="14">
        <f t="shared" si="17"/>
        <v>0.24423859402257797</v>
      </c>
      <c r="CS5" s="41">
        <f t="shared" si="48"/>
        <v>23.593448182546911</v>
      </c>
      <c r="CT5" s="21">
        <v>44477.634722222225</v>
      </c>
      <c r="CU5" s="21">
        <v>44483.525694444441</v>
      </c>
      <c r="CV5" s="9">
        <f t="shared" si="18"/>
        <v>5.8909722222160781</v>
      </c>
      <c r="CW5" s="9">
        <v>277.06033333333329</v>
      </c>
      <c r="CX5">
        <v>1449.4469999999999</v>
      </c>
      <c r="CY5">
        <v>1.9E-2</v>
      </c>
      <c r="CZ5" s="14">
        <f t="shared" si="19"/>
        <v>0.12992216568022288</v>
      </c>
      <c r="DA5" s="41">
        <f t="shared" si="49"/>
        <v>18.368828857736354</v>
      </c>
      <c r="DB5" s="21">
        <v>44483.569444444445</v>
      </c>
      <c r="DC5" s="21">
        <v>44491.552777777775</v>
      </c>
      <c r="DD5" s="9">
        <f t="shared" si="50"/>
        <v>7.9833333333299379</v>
      </c>
      <c r="DE5" s="9">
        <v>277.24849999999998</v>
      </c>
      <c r="DF5">
        <v>1242.0239999999999</v>
      </c>
      <c r="DG5">
        <v>2.5999999999999999E-2</v>
      </c>
      <c r="DH5" s="14">
        <f t="shared" si="20"/>
        <v>8.2095387769625605E-2</v>
      </c>
      <c r="DI5" s="41">
        <f t="shared" si="51"/>
        <v>15.729476296653576</v>
      </c>
      <c r="DJ5" s="21">
        <v>44491.589583333334</v>
      </c>
      <c r="DK5" s="21">
        <v>44498.602777777778</v>
      </c>
      <c r="DL5" s="9">
        <f t="shared" si="21"/>
        <v>7.0131944444437977</v>
      </c>
      <c r="DM5" s="9">
        <v>276.97687499999995</v>
      </c>
      <c r="DN5">
        <v>858.673</v>
      </c>
      <c r="DO5">
        <v>5.6000000000000001E-2</v>
      </c>
      <c r="DP5" s="14">
        <f t="shared" si="22"/>
        <v>6.4671160595531615E-2</v>
      </c>
      <c r="DQ5" s="41">
        <f t="shared" si="52"/>
        <v>10.885234180903559</v>
      </c>
      <c r="DR5" s="21">
        <v>44498.637499999997</v>
      </c>
      <c r="DS5" s="21">
        <v>44505.536805555559</v>
      </c>
      <c r="DT5" s="9">
        <f t="shared" si="53"/>
        <v>6.8993055555620231</v>
      </c>
      <c r="DU5" s="9">
        <v>276.60066666666665</v>
      </c>
      <c r="DV5">
        <v>715.85799999999995</v>
      </c>
      <c r="DW5">
        <v>2.1999999999999999E-2</v>
      </c>
      <c r="DX5" s="14">
        <f t="shared" si="23"/>
        <v>5.4879547231599275E-2</v>
      </c>
      <c r="DY5" s="41">
        <f t="shared" si="54"/>
        <v>9.0871383624408324</v>
      </c>
      <c r="DZ5" s="21">
        <v>44505.579861111109</v>
      </c>
      <c r="EA5" s="21">
        <v>44512.597916666666</v>
      </c>
      <c r="EB5" s="9">
        <f t="shared" si="24"/>
        <v>7.0180555555562023</v>
      </c>
      <c r="EC5" s="9">
        <v>277.08091666666667</v>
      </c>
      <c r="ED5">
        <v>629.43100000000004</v>
      </c>
      <c r="EE5">
        <v>0.02</v>
      </c>
      <c r="EF5" s="14">
        <f t="shared" si="25"/>
        <v>4.7355120901259026E-2</v>
      </c>
      <c r="EG5" s="41">
        <f t="shared" si="55"/>
        <v>7.9761808638027976</v>
      </c>
      <c r="EH5" s="21">
        <v>44512.625694444447</v>
      </c>
      <c r="EI5" s="21">
        <v>44521.647222222222</v>
      </c>
      <c r="EJ5" s="9">
        <f t="shared" si="56"/>
        <v>9.0215277777751908</v>
      </c>
      <c r="EK5" s="9">
        <v>276.87229166666663</v>
      </c>
      <c r="EL5">
        <v>759.27800000000002</v>
      </c>
      <c r="EM5">
        <v>4.3999999999999997E-2</v>
      </c>
      <c r="EN5" s="14">
        <f t="shared" si="26"/>
        <v>4.4471673155660175E-2</v>
      </c>
      <c r="EO5" s="41">
        <f t="shared" si="57"/>
        <v>9.6288584327502615</v>
      </c>
      <c r="EP5" s="21">
        <v>44521.722222222219</v>
      </c>
      <c r="EQ5" s="21">
        <v>44530.579861111109</v>
      </c>
      <c r="ER5" s="9">
        <f t="shared" si="27"/>
        <v>8.8576388888905058</v>
      </c>
      <c r="ES5" s="9">
        <v>276.64249999999998</v>
      </c>
      <c r="ET5">
        <v>812.08199999999999</v>
      </c>
      <c r="EU5">
        <v>2.7E-2</v>
      </c>
      <c r="EV5" s="14">
        <f t="shared" si="28"/>
        <v>4.8484760166500329E-2</v>
      </c>
      <c r="EW5" s="41">
        <f t="shared" si="58"/>
        <v>10.307051932063743</v>
      </c>
      <c r="EX5" s="21">
        <v>44530.611805555556</v>
      </c>
      <c r="EY5" s="21">
        <v>44539.56527777778</v>
      </c>
      <c r="EZ5" s="9">
        <f t="shared" si="29"/>
        <v>8.953472222223354</v>
      </c>
      <c r="FA5" s="9">
        <v>276.01466666666664</v>
      </c>
      <c r="FB5">
        <v>1517.855</v>
      </c>
      <c r="FC5">
        <v>0.17499999999999999</v>
      </c>
      <c r="FD5" s="14">
        <f t="shared" si="30"/>
        <v>8.9856370799675137E-2</v>
      </c>
      <c r="FE5" s="41">
        <f t="shared" si="59"/>
        <v>19.308636478672632</v>
      </c>
      <c r="FF5" s="21">
        <v>44539.627083333333</v>
      </c>
      <c r="FG5" s="21">
        <v>44543.490972222222</v>
      </c>
      <c r="FH5" s="9">
        <f t="shared" si="60"/>
        <v>3.8638888888890506</v>
      </c>
      <c r="FI5" s="9">
        <v>276.78899999999999</v>
      </c>
      <c r="FJ5">
        <v>498.41300000000001</v>
      </c>
      <c r="FK5">
        <v>1.9E-2</v>
      </c>
      <c r="FL5" s="14">
        <f t="shared" si="31"/>
        <v>6.8180180143561614E-2</v>
      </c>
      <c r="FM5" s="36">
        <f t="shared" si="61"/>
        <v>6.3225753719798785</v>
      </c>
      <c r="FS5" s="7"/>
      <c r="FT5" s="7"/>
      <c r="FU5" s="9"/>
      <c r="FX5" s="14"/>
      <c r="GE5" s="7"/>
      <c r="GF5" s="7"/>
      <c r="GG5" s="9"/>
      <c r="GJ5" s="14"/>
      <c r="GK5" s="7"/>
      <c r="GL5" s="7"/>
      <c r="GM5" s="9"/>
      <c r="GP5" s="14"/>
      <c r="GQ5" s="7"/>
      <c r="GR5" s="7"/>
      <c r="GS5" s="9"/>
      <c r="GV5" s="14"/>
      <c r="GW5" s="7"/>
      <c r="GX5" s="7"/>
      <c r="GY5" s="9"/>
      <c r="HB5" s="14"/>
      <c r="HC5" s="7"/>
      <c r="HD5" s="7"/>
      <c r="HE5" s="9"/>
      <c r="HH5" s="14"/>
      <c r="HI5" s="7"/>
      <c r="HJ5" s="7"/>
      <c r="HK5" s="9"/>
      <c r="HN5" s="14"/>
      <c r="HO5" s="7"/>
      <c r="HP5" s="7"/>
      <c r="HQ5" s="9"/>
      <c r="HT5" s="14"/>
      <c r="HU5" s="7"/>
      <c r="HV5" s="7"/>
      <c r="HW5" s="9"/>
      <c r="HZ5" s="14"/>
      <c r="IG5" s="7"/>
      <c r="IH5" s="7"/>
      <c r="II5" s="9"/>
      <c r="IL5" s="14"/>
    </row>
    <row r="6" spans="1:246" ht="19" x14ac:dyDescent="0.25">
      <c r="A6" s="29" t="s">
        <v>23</v>
      </c>
      <c r="B6">
        <v>473.17599999999999</v>
      </c>
      <c r="C6">
        <f>Vol_soil_calc!L5</f>
        <v>19.855698379036728</v>
      </c>
      <c r="D6" s="28">
        <v>8.2057366080959995E-2</v>
      </c>
      <c r="E6">
        <v>275.14999999999998</v>
      </c>
      <c r="F6">
        <f t="shared" si="0"/>
        <v>0.45332030162096326</v>
      </c>
      <c r="G6" cm="1">
        <f t="array" ref="G6:G26">[1]incubation_physical_chemical!$I$5:$I$25</f>
        <v>0.36500000000000021</v>
      </c>
      <c r="H6">
        <v>35.707999999999998</v>
      </c>
      <c r="I6" s="9">
        <f t="shared" si="1"/>
        <v>26.159706959706956</v>
      </c>
      <c r="J6" s="6">
        <v>44447.815972222219</v>
      </c>
      <c r="K6" s="7">
        <v>44447.845138888886</v>
      </c>
      <c r="L6" s="9">
        <f t="shared" si="32"/>
        <v>2.9166666667151731E-2</v>
      </c>
      <c r="M6" s="9">
        <v>275.14999999999998</v>
      </c>
      <c r="N6" s="29">
        <v>197.083</v>
      </c>
      <c r="O6" s="29">
        <v>7.9000000000000001E-2</v>
      </c>
      <c r="P6" s="14">
        <f t="shared" si="2"/>
        <v>2.593089908584906</v>
      </c>
      <c r="Q6" s="41">
        <f t="shared" si="33"/>
        <v>1.8151629360396218</v>
      </c>
      <c r="R6" s="6"/>
      <c r="S6" s="30">
        <v>0.64861111111111114</v>
      </c>
      <c r="T6" s="9">
        <f t="shared" si="3"/>
        <v>0.64861111111111114</v>
      </c>
      <c r="U6" s="9">
        <v>275.14999999999998</v>
      </c>
      <c r="V6">
        <v>869.09500000000003</v>
      </c>
      <c r="W6">
        <v>0.67600000000000005</v>
      </c>
      <c r="X6" s="14">
        <f t="shared" si="4"/>
        <v>0.51420710850322249</v>
      </c>
      <c r="Y6" s="36">
        <f t="shared" si="34"/>
        <v>8.0044906557001632</v>
      </c>
      <c r="Z6" s="6">
        <v>44448.698611111111</v>
      </c>
      <c r="AA6" s="7">
        <v>44449.55972222222</v>
      </c>
      <c r="AB6" s="9">
        <f t="shared" si="35"/>
        <v>0.86111111110949423</v>
      </c>
      <c r="AC6">
        <v>278.97624999999999</v>
      </c>
      <c r="AD6">
        <v>540.49</v>
      </c>
      <c r="AE6">
        <v>0.28100000000000003</v>
      </c>
      <c r="AF6" s="14">
        <f t="shared" si="5"/>
        <v>0.23756691821406647</v>
      </c>
      <c r="AG6" s="41">
        <f t="shared" si="36"/>
        <v>4.9097163097481547</v>
      </c>
      <c r="AH6" s="7">
        <v>44449.633333333331</v>
      </c>
      <c r="AI6" s="21">
        <v>44451.675694444442</v>
      </c>
      <c r="AJ6" s="9">
        <f t="shared" si="6"/>
        <v>2.0423611111109494</v>
      </c>
      <c r="AK6" s="9">
        <v>275.30391666666662</v>
      </c>
      <c r="AL6">
        <v>307.10899999999998</v>
      </c>
      <c r="AM6">
        <v>0.17899999999999999</v>
      </c>
      <c r="AN6" s="14">
        <f t="shared" si="7"/>
        <v>5.767297405025372E-2</v>
      </c>
      <c r="AO6" s="41">
        <f t="shared" si="37"/>
        <v>2.8269369446963792</v>
      </c>
      <c r="AP6" s="21">
        <v>44451.777777777781</v>
      </c>
      <c r="AQ6" s="21">
        <v>44453.61041666667</v>
      </c>
      <c r="AR6" s="9">
        <f t="shared" si="38"/>
        <v>1.8326388888890506</v>
      </c>
      <c r="AS6" s="9">
        <v>275.34574999999995</v>
      </c>
      <c r="AT6">
        <v>236.03100000000001</v>
      </c>
      <c r="AU6">
        <v>0.1</v>
      </c>
      <c r="AV6" s="14">
        <f t="shared" si="8"/>
        <v>4.9389939798695902E-2</v>
      </c>
      <c r="AW6" s="41">
        <f t="shared" si="39"/>
        <v>2.1723341854794995</v>
      </c>
      <c r="AX6" s="21">
        <v>44453.792361111111</v>
      </c>
      <c r="AY6" s="21">
        <v>44456.5625</v>
      </c>
      <c r="AZ6" s="9">
        <f t="shared" si="9"/>
        <v>2.7701388888890506</v>
      </c>
      <c r="BA6" s="9">
        <v>275.28258333333332</v>
      </c>
      <c r="BB6">
        <v>248.84</v>
      </c>
      <c r="BC6">
        <v>9.6000000000000002E-2</v>
      </c>
      <c r="BD6" s="14">
        <f t="shared" si="10"/>
        <v>3.4455982588543703E-2</v>
      </c>
      <c r="BE6" s="41">
        <f t="shared" si="40"/>
        <v>2.290748575761814</v>
      </c>
      <c r="BF6" s="21">
        <v>44456.599305555559</v>
      </c>
      <c r="BG6" s="21">
        <v>44459.613888888889</v>
      </c>
      <c r="BH6" s="9">
        <f t="shared" si="41"/>
        <v>3.0145833333299379</v>
      </c>
      <c r="BI6" s="9">
        <v>274.02612499999998</v>
      </c>
      <c r="BJ6">
        <v>93.784000000000006</v>
      </c>
      <c r="BK6">
        <v>1.4999999999999999E-2</v>
      </c>
      <c r="BL6" s="14">
        <f t="shared" si="11"/>
        <v>1.1987654426593183E-2</v>
      </c>
      <c r="BM6" s="41">
        <f t="shared" si="42"/>
        <v>0.86730679776303987</v>
      </c>
      <c r="BN6" s="21">
        <v>44459.659722222219</v>
      </c>
      <c r="BO6" s="21">
        <v>44461.49722222222</v>
      </c>
      <c r="BP6" s="9">
        <f t="shared" si="12"/>
        <v>1.8375000000014552</v>
      </c>
      <c r="BQ6" s="9">
        <v>276.14041666666662</v>
      </c>
      <c r="BR6">
        <v>186.863</v>
      </c>
      <c r="BS6">
        <v>1.9E-2</v>
      </c>
      <c r="BT6" s="14">
        <f t="shared" si="13"/>
        <v>3.8885771460619362E-2</v>
      </c>
      <c r="BU6" s="41">
        <f t="shared" si="43"/>
        <v>1.714862521414672</v>
      </c>
      <c r="BV6" s="21">
        <v>44461.51458333333</v>
      </c>
      <c r="BW6" s="21">
        <v>44466.536111111112</v>
      </c>
      <c r="BX6" s="9">
        <f t="shared" si="44"/>
        <v>5.0215277777824667</v>
      </c>
      <c r="BY6" s="9">
        <v>276.28674999999998</v>
      </c>
      <c r="BZ6">
        <v>429.262</v>
      </c>
      <c r="CA6">
        <v>3.5000000000000003E-2</v>
      </c>
      <c r="CB6" s="14">
        <f t="shared" si="14"/>
        <v>3.2670158652178309E-2</v>
      </c>
      <c r="CC6" s="41">
        <f t="shared" si="45"/>
        <v>3.9372986202353664</v>
      </c>
      <c r="CD6" s="21">
        <v>44466.566666666666</v>
      </c>
      <c r="CE6" s="21">
        <v>44473.511111111111</v>
      </c>
      <c r="CF6" s="9">
        <f t="shared" si="15"/>
        <v>6.9444444444452529</v>
      </c>
      <c r="CG6" s="9">
        <v>276.3075833333333</v>
      </c>
      <c r="CH6">
        <v>1670.02</v>
      </c>
      <c r="CI6">
        <v>4.2000000000000003E-2</v>
      </c>
      <c r="CJ6" s="14">
        <f t="shared" si="16"/>
        <v>9.190012158369476E-2</v>
      </c>
      <c r="CK6" s="41">
        <f t="shared" si="46"/>
        <v>15.316686930617575</v>
      </c>
      <c r="CL6" s="21">
        <v>44473.559027777781</v>
      </c>
      <c r="CM6" s="21">
        <v>44477.602083333331</v>
      </c>
      <c r="CN6" s="9">
        <f t="shared" si="47"/>
        <v>4.0430555555503815</v>
      </c>
      <c r="CO6" s="9">
        <v>276.45387499999998</v>
      </c>
      <c r="CP6">
        <v>1474.182</v>
      </c>
      <c r="CQ6">
        <v>1.9E-2</v>
      </c>
      <c r="CR6" s="14">
        <f t="shared" si="17"/>
        <v>0.13926546685306396</v>
      </c>
      <c r="CS6" s="41">
        <f t="shared" si="48"/>
        <v>13.513392466958345</v>
      </c>
      <c r="CT6" s="21">
        <v>44477.634722222225</v>
      </c>
      <c r="CU6" s="21">
        <v>44483.529861111114</v>
      </c>
      <c r="CV6" s="9">
        <f t="shared" si="18"/>
        <v>5.8951388888890506</v>
      </c>
      <c r="CW6" s="9">
        <v>277.06033333333329</v>
      </c>
      <c r="CX6">
        <v>1369.5239999999999</v>
      </c>
      <c r="CY6">
        <v>2.3E-2</v>
      </c>
      <c r="CZ6" s="14">
        <f t="shared" si="19"/>
        <v>8.8537240014755894E-2</v>
      </c>
      <c r="DA6" s="41">
        <f t="shared" si="49"/>
        <v>12.52654384142139</v>
      </c>
      <c r="DB6" s="21">
        <v>44483.569444444445</v>
      </c>
      <c r="DC6" s="21">
        <v>44491.548611111109</v>
      </c>
      <c r="DD6" s="9">
        <f t="shared" si="50"/>
        <v>7.9791666666642413</v>
      </c>
      <c r="DE6" s="9">
        <v>277.24849999999998</v>
      </c>
      <c r="DF6">
        <v>1286.8150000000001</v>
      </c>
      <c r="DG6">
        <v>2.9000000000000001E-2</v>
      </c>
      <c r="DH6" s="14">
        <f t="shared" si="20"/>
        <v>6.1420606270237703E-2</v>
      </c>
      <c r="DI6" s="41">
        <f t="shared" si="51"/>
        <v>11.762046100746945</v>
      </c>
      <c r="DJ6" s="21">
        <v>44491.589583333334</v>
      </c>
      <c r="DK6" s="21">
        <v>44498.597222222219</v>
      </c>
      <c r="DL6" s="9">
        <f t="shared" si="21"/>
        <v>7.007638888884685</v>
      </c>
      <c r="DM6" s="9">
        <v>276.97687499999995</v>
      </c>
      <c r="DN6">
        <v>1100.502</v>
      </c>
      <c r="DO6">
        <v>0.05</v>
      </c>
      <c r="DP6" s="14">
        <f t="shared" si="22"/>
        <v>5.9868770192253729E-2</v>
      </c>
      <c r="DQ6" s="41">
        <f t="shared" si="52"/>
        <v>10.068929333494498</v>
      </c>
      <c r="DR6" s="21">
        <v>44498.637499999997</v>
      </c>
      <c r="DS6" s="21">
        <v>44505.554166666669</v>
      </c>
      <c r="DT6" s="9">
        <f t="shared" si="53"/>
        <v>6.9166666666715173</v>
      </c>
      <c r="DU6" s="9">
        <v>276.60066666666665</v>
      </c>
      <c r="DV6">
        <v>643.06899999999996</v>
      </c>
      <c r="DW6">
        <v>9.9000000000000005E-2</v>
      </c>
      <c r="DX6" s="14">
        <f t="shared" si="23"/>
        <v>3.5492143724547627E-2</v>
      </c>
      <c r="DY6" s="41">
        <f t="shared" si="54"/>
        <v>5.8916958582790384</v>
      </c>
      <c r="DZ6" s="21">
        <v>44505.579861111109</v>
      </c>
      <c r="EA6" s="21">
        <v>44512.602777777778</v>
      </c>
      <c r="EB6" s="9">
        <f t="shared" si="24"/>
        <v>7.0229166666686069</v>
      </c>
      <c r="EC6" s="9">
        <v>277.08091666666667</v>
      </c>
      <c r="ED6">
        <v>588.73</v>
      </c>
      <c r="EE6">
        <v>2.7E-2</v>
      </c>
      <c r="EF6" s="14">
        <f t="shared" si="25"/>
        <v>3.1946020198297322E-2</v>
      </c>
      <c r="EG6" s="41">
        <f t="shared" si="55"/>
        <v>5.3845017044245012</v>
      </c>
      <c r="EH6" s="21">
        <v>44512.625694444447</v>
      </c>
      <c r="EI6" s="21">
        <v>44521.637499999997</v>
      </c>
      <c r="EJ6" s="9">
        <f t="shared" si="56"/>
        <v>9.0118055555503815</v>
      </c>
      <c r="EK6" s="9">
        <v>276.87229166666663</v>
      </c>
      <c r="EL6">
        <v>722.88199999999995</v>
      </c>
      <c r="EM6">
        <v>0.1</v>
      </c>
      <c r="EN6" s="14">
        <f t="shared" si="26"/>
        <v>3.0591503983372278E-2</v>
      </c>
      <c r="EO6" s="41">
        <f t="shared" si="57"/>
        <v>6.6164324531999021</v>
      </c>
      <c r="EP6" s="21">
        <v>44521.722222222219</v>
      </c>
      <c r="EQ6" s="21">
        <v>44530.548611111109</v>
      </c>
      <c r="ER6" s="9">
        <f t="shared" si="27"/>
        <v>8.8263888888905058</v>
      </c>
      <c r="ES6" s="9">
        <v>276.64249999999998</v>
      </c>
      <c r="ET6">
        <v>658.95899999999995</v>
      </c>
      <c r="EU6">
        <v>3.6999999999999998E-2</v>
      </c>
      <c r="EV6" s="14">
        <f t="shared" si="28"/>
        <v>2.8495820132785107E-2</v>
      </c>
      <c r="EW6" s="41">
        <f t="shared" si="58"/>
        <v>6.0363645647960844</v>
      </c>
      <c r="EX6" s="21">
        <v>44530.611805555556</v>
      </c>
      <c r="EY6" s="21">
        <v>44539.606944444444</v>
      </c>
      <c r="EZ6" s="9">
        <f t="shared" si="29"/>
        <v>8.9951388888875954</v>
      </c>
      <c r="FA6" s="9">
        <v>276.01466666666664</v>
      </c>
      <c r="FB6">
        <v>593.81600000000003</v>
      </c>
      <c r="FC6">
        <v>0.109</v>
      </c>
      <c r="FD6" s="14">
        <f t="shared" si="30"/>
        <v>2.5254372843541612E-2</v>
      </c>
      <c r="FE6" s="41">
        <f t="shared" si="59"/>
        <v>5.4519981907057913</v>
      </c>
      <c r="FF6" s="21">
        <v>44539.627083333333</v>
      </c>
      <c r="FG6" s="21">
        <v>44543.525000000001</v>
      </c>
      <c r="FH6" s="9">
        <f t="shared" si="60"/>
        <v>3.8979166666686069</v>
      </c>
      <c r="FI6" s="9">
        <v>276.78899999999999</v>
      </c>
      <c r="FJ6">
        <v>413.13</v>
      </c>
      <c r="FK6">
        <v>0.20200000000000001</v>
      </c>
      <c r="FL6" s="14">
        <f t="shared" si="31"/>
        <v>4.0432452245150657E-2</v>
      </c>
      <c r="FM6" s="36">
        <f t="shared" si="61"/>
        <v>3.7824559075357267</v>
      </c>
      <c r="FS6" s="7"/>
      <c r="FT6" s="7"/>
      <c r="FU6" s="9"/>
      <c r="FV6" s="1"/>
      <c r="FX6" s="14"/>
      <c r="GE6" s="7"/>
      <c r="GF6" s="7"/>
      <c r="GG6" s="9"/>
      <c r="GJ6" s="14"/>
      <c r="GK6" s="7"/>
      <c r="GL6" s="7"/>
      <c r="GM6" s="9"/>
      <c r="GP6" s="14"/>
      <c r="GQ6" s="7"/>
      <c r="GR6" s="7"/>
      <c r="GS6" s="9"/>
      <c r="GV6" s="14"/>
      <c r="GW6" s="7"/>
      <c r="GX6" s="7"/>
      <c r="GY6" s="9"/>
      <c r="HB6" s="14"/>
      <c r="HC6" s="7"/>
      <c r="HD6" s="7"/>
      <c r="HE6" s="9"/>
      <c r="HH6" s="14"/>
      <c r="HI6" s="7"/>
      <c r="HJ6" s="7"/>
      <c r="HK6" s="9"/>
      <c r="HN6" s="14"/>
      <c r="HO6" s="7"/>
      <c r="HP6" s="7"/>
      <c r="HQ6" s="9"/>
      <c r="HT6" s="14"/>
      <c r="HU6" s="7"/>
      <c r="HV6" s="7"/>
      <c r="HW6" s="9"/>
      <c r="HZ6" s="14"/>
      <c r="IG6" s="7"/>
      <c r="IH6" s="7"/>
      <c r="II6" s="9"/>
      <c r="IL6" s="14"/>
    </row>
    <row r="7" spans="1:246" ht="19" x14ac:dyDescent="0.25">
      <c r="A7" s="29" t="s">
        <v>24</v>
      </c>
      <c r="B7">
        <v>473.17599999999999</v>
      </c>
      <c r="C7">
        <f>Vol_soil_calc!L6</f>
        <v>21.35725323081008</v>
      </c>
      <c r="D7" s="28">
        <v>8.2057366080959995E-2</v>
      </c>
      <c r="E7">
        <v>275.14999999999998</v>
      </c>
      <c r="F7">
        <f t="shared" si="0"/>
        <v>0.45181874676918987</v>
      </c>
      <c r="G7">
        <v>0.44099999999999984</v>
      </c>
      <c r="H7">
        <v>37.253</v>
      </c>
      <c r="I7" s="9">
        <f t="shared" si="1"/>
        <v>25.852185981956978</v>
      </c>
      <c r="J7" s="6">
        <v>44447.815972222219</v>
      </c>
      <c r="K7" s="7">
        <v>44447.85</v>
      </c>
      <c r="L7" s="9">
        <f t="shared" si="32"/>
        <v>3.4027777779556345E-2</v>
      </c>
      <c r="M7" s="9">
        <v>275.14999999999998</v>
      </c>
      <c r="N7" s="29">
        <v>147.90799999999999</v>
      </c>
      <c r="O7" s="29">
        <v>2.5000000000000001E-2</v>
      </c>
      <c r="P7" s="14">
        <f t="shared" si="2"/>
        <v>1.6823175139129609</v>
      </c>
      <c r="Q7" s="41">
        <f t="shared" si="33"/>
        <v>1.373892636434062</v>
      </c>
      <c r="R7" s="6"/>
      <c r="S7" s="30">
        <v>0.65347222222222223</v>
      </c>
      <c r="T7" s="9">
        <f t="shared" si="3"/>
        <v>0.65347222222222223</v>
      </c>
      <c r="U7" s="9">
        <v>275.14999999999998</v>
      </c>
      <c r="V7">
        <v>642.86900000000003</v>
      </c>
      <c r="W7">
        <v>0.51800000000000002</v>
      </c>
      <c r="X7" s="14">
        <f t="shared" si="4"/>
        <v>0.38075467308399619</v>
      </c>
      <c r="Y7" s="36">
        <f t="shared" si="34"/>
        <v>5.9715024562006729</v>
      </c>
      <c r="Z7" s="6">
        <v>44448.698611111111</v>
      </c>
      <c r="AA7" s="7">
        <v>44449.56527777778</v>
      </c>
      <c r="AB7" s="9">
        <f t="shared" si="35"/>
        <v>0.86666666666860692</v>
      </c>
      <c r="AC7">
        <v>278.97624999999999</v>
      </c>
      <c r="AD7">
        <v>332.04700000000003</v>
      </c>
      <c r="AE7">
        <v>0.30299999999999999</v>
      </c>
      <c r="AF7" s="14">
        <f t="shared" si="5"/>
        <v>0.14625126865812177</v>
      </c>
      <c r="AG7" s="41">
        <f t="shared" si="36"/>
        <v>3.042026388095743</v>
      </c>
      <c r="AH7" s="12">
        <v>44449.625</v>
      </c>
      <c r="AI7" s="21">
        <v>44451.705555555556</v>
      </c>
      <c r="AJ7" s="9">
        <f t="shared" si="6"/>
        <v>2.0805555555562023</v>
      </c>
      <c r="AK7" s="9">
        <v>275.30391666666662</v>
      </c>
      <c r="AL7">
        <v>206.08099999999999</v>
      </c>
      <c r="AM7">
        <v>3.9E-2</v>
      </c>
      <c r="AN7" s="14">
        <f t="shared" si="7"/>
        <v>3.8314719709823863E-2</v>
      </c>
      <c r="AO7" s="41">
        <f t="shared" si="37"/>
        <v>1.9131816708444664</v>
      </c>
      <c r="AP7" s="21">
        <v>44451.785416666666</v>
      </c>
      <c r="AQ7" s="21">
        <v>44453.613888888889</v>
      </c>
      <c r="AR7" s="9">
        <f t="shared" si="38"/>
        <v>1.828472222223354</v>
      </c>
      <c r="AS7" s="9">
        <v>275.34574999999995</v>
      </c>
      <c r="AT7">
        <v>133.77500000000001</v>
      </c>
      <c r="AU7">
        <v>0.01</v>
      </c>
      <c r="AV7" s="14">
        <f t="shared" si="8"/>
        <v>2.8296167775639008E-2</v>
      </c>
      <c r="AW7" s="41">
        <f t="shared" si="39"/>
        <v>1.2417301625550605</v>
      </c>
      <c r="AX7" s="21">
        <v>44453.792361111111</v>
      </c>
      <c r="AY7" s="21">
        <v>44456.580555555556</v>
      </c>
      <c r="AZ7" s="9">
        <f t="shared" si="9"/>
        <v>2.7881944444452529</v>
      </c>
      <c r="BA7" s="9">
        <v>275.28258333333332</v>
      </c>
      <c r="BB7">
        <v>174.1</v>
      </c>
      <c r="BC7">
        <v>0.05</v>
      </c>
      <c r="BD7" s="14">
        <f t="shared" si="10"/>
        <v>2.4155519669893138E-2</v>
      </c>
      <c r="BE7" s="41">
        <f t="shared" si="40"/>
        <v>1.6164068579108177</v>
      </c>
      <c r="BF7" s="21">
        <v>44456.599305555559</v>
      </c>
      <c r="BG7" s="21">
        <v>44459.645833333336</v>
      </c>
      <c r="BH7" s="9">
        <f t="shared" si="41"/>
        <v>3.046527777776646</v>
      </c>
      <c r="BI7" s="9">
        <v>274.02612499999998</v>
      </c>
      <c r="BJ7">
        <v>103.486</v>
      </c>
      <c r="BK7">
        <v>3.4000000000000002E-2</v>
      </c>
      <c r="BL7" s="14">
        <f t="shared" si="11"/>
        <v>1.3200910774906593E-2</v>
      </c>
      <c r="BM7" s="41">
        <f t="shared" si="42"/>
        <v>0.96520659282489518</v>
      </c>
      <c r="BN7" s="21">
        <v>44459.659722222219</v>
      </c>
      <c r="BO7" s="21">
        <v>44461.457638888889</v>
      </c>
      <c r="BP7" s="9">
        <f t="shared" si="12"/>
        <v>1.7979166666700621</v>
      </c>
      <c r="BQ7" s="9">
        <v>276.14041666666662</v>
      </c>
      <c r="BR7">
        <v>117.095</v>
      </c>
      <c r="BS7">
        <v>2.1000000000000001E-2</v>
      </c>
      <c r="BT7" s="14">
        <f t="shared" si="13"/>
        <v>2.5116448147142884E-2</v>
      </c>
      <c r="BU7" s="41">
        <f t="shared" si="43"/>
        <v>1.0837747375512621</v>
      </c>
      <c r="BV7" s="21">
        <v>44461.51458333333</v>
      </c>
      <c r="BW7" s="21">
        <v>44466.501388888886</v>
      </c>
      <c r="BX7" s="9">
        <f t="shared" si="44"/>
        <v>4.9868055555562023</v>
      </c>
      <c r="BY7" s="9">
        <v>276.28674999999998</v>
      </c>
      <c r="BZ7">
        <v>401.72199999999998</v>
      </c>
      <c r="CA7">
        <v>5.5E-2</v>
      </c>
      <c r="CB7" s="14">
        <f t="shared" si="14"/>
        <v>3.1050066202893158E-2</v>
      </c>
      <c r="CC7" s="41">
        <f t="shared" si="45"/>
        <v>3.7161754233834117</v>
      </c>
      <c r="CD7" s="21">
        <v>44466.566666666666</v>
      </c>
      <c r="CE7" s="21">
        <v>44473.51458333333</v>
      </c>
      <c r="CF7" s="9">
        <f t="shared" si="15"/>
        <v>6.9479166666642413</v>
      </c>
      <c r="CG7" s="9">
        <v>276.3075833333333</v>
      </c>
      <c r="CH7">
        <v>1223.4259999999999</v>
      </c>
      <c r="CI7">
        <v>3.3000000000000002E-2</v>
      </c>
      <c r="CJ7" s="14">
        <f t="shared" si="16"/>
        <v>6.7865602214755197E-2</v>
      </c>
      <c r="CK7" s="41">
        <f t="shared" si="46"/>
        <v>11.316589169306479</v>
      </c>
      <c r="CL7" s="21">
        <v>44473.559027777781</v>
      </c>
      <c r="CM7" s="21">
        <v>44477.606944444444</v>
      </c>
      <c r="CN7" s="9">
        <f t="shared" si="47"/>
        <v>4.0479166666627862</v>
      </c>
      <c r="CO7" s="9">
        <v>276.45387499999998</v>
      </c>
      <c r="CP7">
        <v>1165.385</v>
      </c>
      <c r="CQ7">
        <v>4.3999999999999997E-2</v>
      </c>
      <c r="CR7" s="14">
        <f t="shared" si="17"/>
        <v>0.11090077614750204</v>
      </c>
      <c r="CS7" s="41">
        <f t="shared" si="48"/>
        <v>10.774010402719494</v>
      </c>
      <c r="CT7" s="21">
        <v>44477.634722222225</v>
      </c>
      <c r="CU7" s="21">
        <v>44483.54791666667</v>
      </c>
      <c r="CV7" s="9">
        <f t="shared" si="18"/>
        <v>5.9131944444452529</v>
      </c>
      <c r="CW7" s="9">
        <v>277.06033333333329</v>
      </c>
      <c r="CX7">
        <v>2037.5309999999999</v>
      </c>
      <c r="CY7">
        <v>2.4E-2</v>
      </c>
      <c r="CZ7" s="14">
        <f t="shared" si="19"/>
        <v>0.1324424235137569</v>
      </c>
      <c r="DA7" s="41">
        <f t="shared" si="49"/>
        <v>18.795787270329903</v>
      </c>
      <c r="DB7" s="21">
        <v>44483.569444444445</v>
      </c>
      <c r="DC7" s="21">
        <v>44491.574999999997</v>
      </c>
      <c r="DD7" s="9">
        <f t="shared" si="50"/>
        <v>8.0055555555518367</v>
      </c>
      <c r="DE7" s="9">
        <v>277.24849999999998</v>
      </c>
      <c r="DF7">
        <v>2653.7379999999998</v>
      </c>
      <c r="DG7">
        <v>5.5E-2</v>
      </c>
      <c r="DH7" s="14">
        <f t="shared" si="20"/>
        <v>0.12732590425234505</v>
      </c>
      <c r="DI7" s="41">
        <f t="shared" si="51"/>
        <v>24.463550403672535</v>
      </c>
      <c r="DJ7" s="21">
        <v>44491.589583333334</v>
      </c>
      <c r="DK7" s="21">
        <v>44498.626388888886</v>
      </c>
      <c r="DL7" s="9">
        <f t="shared" si="21"/>
        <v>7.0368055555518367</v>
      </c>
      <c r="DM7" s="9">
        <v>276.97687499999995</v>
      </c>
      <c r="DN7">
        <v>1311.057</v>
      </c>
      <c r="DO7">
        <v>2.5000000000000001E-2</v>
      </c>
      <c r="DP7" s="14">
        <f t="shared" si="22"/>
        <v>7.1634448019909286E-2</v>
      </c>
      <c r="DQ7" s="41">
        <f t="shared" si="52"/>
        <v>12.097864363089286</v>
      </c>
      <c r="DR7" s="21">
        <v>44498.637499999997</v>
      </c>
      <c r="DS7" s="21">
        <v>44505.519444444442</v>
      </c>
      <c r="DT7" s="9">
        <f t="shared" si="53"/>
        <v>6.8819444444452529</v>
      </c>
      <c r="DU7" s="9">
        <v>276.60066666666665</v>
      </c>
      <c r="DV7">
        <v>1119.6690000000001</v>
      </c>
      <c r="DW7">
        <v>4.8000000000000001E-2</v>
      </c>
      <c r="DX7" s="14">
        <f t="shared" si="23"/>
        <v>6.2638979829536826E-2</v>
      </c>
      <c r="DY7" s="41">
        <f t="shared" si="54"/>
        <v>10.345871501846382</v>
      </c>
      <c r="DZ7" s="21">
        <v>44505.579861111109</v>
      </c>
      <c r="EA7" s="21">
        <v>44512.567361111112</v>
      </c>
      <c r="EB7" s="9">
        <f t="shared" si="24"/>
        <v>6.9875000000029104</v>
      </c>
      <c r="EC7" s="9">
        <v>277.08091666666667</v>
      </c>
      <c r="ED7">
        <v>632.44399999999996</v>
      </c>
      <c r="EE7">
        <v>2.4E-2</v>
      </c>
      <c r="EF7" s="14">
        <f t="shared" si="25"/>
        <v>3.478668518015135E-2</v>
      </c>
      <c r="EG7" s="41">
        <f t="shared" si="55"/>
        <v>5.8337271047138115</v>
      </c>
      <c r="EH7" s="21">
        <v>44512.625694444447</v>
      </c>
      <c r="EI7" s="21">
        <v>44521.645138888889</v>
      </c>
      <c r="EJ7" s="9">
        <f t="shared" si="56"/>
        <v>9.0194444444423425</v>
      </c>
      <c r="EK7" s="9">
        <v>276.87229166666663</v>
      </c>
      <c r="EL7">
        <v>741.34900000000005</v>
      </c>
      <c r="EM7">
        <v>4.1000000000000002E-2</v>
      </c>
      <c r="EN7" s="14">
        <f t="shared" si="26"/>
        <v>3.1614246087922418E-2</v>
      </c>
      <c r="EO7" s="41">
        <f t="shared" si="57"/>
        <v>6.8434304698306789</v>
      </c>
      <c r="EP7" s="21">
        <v>44521.722222222219</v>
      </c>
      <c r="EQ7" s="21">
        <v>44530.576388888891</v>
      </c>
      <c r="ER7" s="9">
        <f t="shared" si="27"/>
        <v>8.8541666666715173</v>
      </c>
      <c r="ES7" s="9">
        <v>276.64249999999998</v>
      </c>
      <c r="ET7">
        <v>735.50800000000004</v>
      </c>
      <c r="EU7">
        <v>4.4999999999999998E-2</v>
      </c>
      <c r="EV7" s="14">
        <f t="shared" si="28"/>
        <v>3.1977183876086501E-2</v>
      </c>
      <c r="EW7" s="41">
        <f t="shared" si="58"/>
        <v>6.7951515736721042</v>
      </c>
      <c r="EX7" s="21">
        <v>44530.611805555556</v>
      </c>
      <c r="EY7" s="21">
        <v>44539.617361111108</v>
      </c>
      <c r="EZ7" s="9">
        <f t="shared" si="29"/>
        <v>9.0055555555518367</v>
      </c>
      <c r="FA7" s="9">
        <v>276.01466666666664</v>
      </c>
      <c r="FB7">
        <v>819.53300000000002</v>
      </c>
      <c r="FC7">
        <v>2.7E-2</v>
      </c>
      <c r="FD7" s="14">
        <f t="shared" si="30"/>
        <v>3.5110998718559938E-2</v>
      </c>
      <c r="FE7" s="41">
        <f t="shared" si="59"/>
        <v>7.5886571897016211</v>
      </c>
      <c r="FF7" s="21">
        <v>44539.627083333333</v>
      </c>
      <c r="FG7" s="21">
        <v>44543.486805555556</v>
      </c>
      <c r="FH7" s="9">
        <f t="shared" si="60"/>
        <v>3.859722222223354</v>
      </c>
      <c r="FI7" s="9">
        <v>276.78899999999999</v>
      </c>
      <c r="FJ7">
        <v>429.02499999999998</v>
      </c>
      <c r="FK7">
        <v>2.5000000000000001E-2</v>
      </c>
      <c r="FL7" s="14">
        <f t="shared" si="31"/>
        <v>4.2765852103798845E-2</v>
      </c>
      <c r="FM7" s="36">
        <f t="shared" si="61"/>
        <v>3.961543433216395</v>
      </c>
      <c r="FS7" s="7"/>
      <c r="FT7" s="7"/>
      <c r="FU7" s="9"/>
      <c r="FV7" s="1"/>
      <c r="FX7" s="14"/>
      <c r="GE7" s="7"/>
      <c r="GF7" s="7"/>
      <c r="GG7" s="9"/>
      <c r="GJ7" s="14"/>
      <c r="GK7" s="7"/>
      <c r="GL7" s="7"/>
      <c r="GM7" s="9"/>
      <c r="GP7" s="14"/>
      <c r="GQ7" s="7"/>
      <c r="GR7" s="7"/>
      <c r="GS7" s="9"/>
      <c r="GV7" s="14"/>
      <c r="GW7" s="7"/>
      <c r="GX7" s="7"/>
      <c r="GY7" s="9"/>
      <c r="HB7" s="14"/>
      <c r="HC7" s="7"/>
      <c r="HD7" s="7"/>
      <c r="HE7" s="9"/>
      <c r="HH7" s="14"/>
      <c r="HI7" s="7"/>
      <c r="HJ7" s="7"/>
      <c r="HK7" s="9"/>
      <c r="HN7" s="14"/>
      <c r="HO7" s="7"/>
      <c r="HP7" s="7"/>
      <c r="HQ7" s="9"/>
      <c r="HT7" s="14"/>
      <c r="HU7" s="7"/>
      <c r="HV7" s="7"/>
      <c r="HW7" s="9"/>
      <c r="HZ7" s="14"/>
      <c r="IG7" s="7"/>
      <c r="IH7" s="7"/>
      <c r="II7" s="9"/>
      <c r="IL7" s="14"/>
    </row>
    <row r="8" spans="1:246" ht="19" x14ac:dyDescent="0.25">
      <c r="A8" s="29" t="s">
        <v>25</v>
      </c>
      <c r="B8">
        <v>473.17599999999999</v>
      </c>
      <c r="C8">
        <f>Vol_soil_calc!L7</f>
        <v>17.917342527575176</v>
      </c>
      <c r="D8" s="28">
        <v>8.2057366080959995E-2</v>
      </c>
      <c r="E8">
        <v>275.14999999999998</v>
      </c>
      <c r="F8">
        <f t="shared" si="0"/>
        <v>0.45525865747242483</v>
      </c>
      <c r="G8">
        <v>0.2710000000000008</v>
      </c>
      <c r="H8">
        <v>34.707999999999998</v>
      </c>
      <c r="I8" s="9">
        <f t="shared" si="1"/>
        <v>27.307631785995262</v>
      </c>
      <c r="J8" s="6">
        <v>44447.815972222219</v>
      </c>
      <c r="K8" s="7">
        <v>44447.854861111111</v>
      </c>
      <c r="L8" s="9">
        <f t="shared" si="32"/>
        <v>3.888888889196096E-2</v>
      </c>
      <c r="M8" s="9">
        <v>275.14999999999998</v>
      </c>
      <c r="N8" s="29">
        <v>210.40299999999999</v>
      </c>
      <c r="O8" s="29">
        <v>0.124</v>
      </c>
      <c r="P8" s="14">
        <f t="shared" si="2"/>
        <v>1.997484797073334</v>
      </c>
      <c r="Q8" s="41">
        <f t="shared" si="33"/>
        <v>1.8643191440823859</v>
      </c>
      <c r="R8" s="6"/>
      <c r="S8" s="30">
        <v>0.65763888888888888</v>
      </c>
      <c r="T8" s="9">
        <f t="shared" si="3"/>
        <v>0.65763888888888888</v>
      </c>
      <c r="U8" s="9">
        <v>275.14999999999998</v>
      </c>
      <c r="V8">
        <v>786.80600000000004</v>
      </c>
      <c r="W8">
        <v>0.7</v>
      </c>
      <c r="X8" s="14">
        <f t="shared" si="4"/>
        <v>0.44171003494386868</v>
      </c>
      <c r="Y8" s="36">
        <f t="shared" si="34"/>
        <v>6.9716567181973943</v>
      </c>
      <c r="Z8" s="6">
        <v>44448.698611111111</v>
      </c>
      <c r="AA8" s="7">
        <v>44449.568749999999</v>
      </c>
      <c r="AB8" s="9">
        <f t="shared" si="35"/>
        <v>0.87013888888759539</v>
      </c>
      <c r="AC8">
        <v>278.97624999999999</v>
      </c>
      <c r="AD8">
        <v>479.48700000000002</v>
      </c>
      <c r="AE8">
        <v>0.77700000000000002</v>
      </c>
      <c r="AF8" s="14">
        <f t="shared" si="5"/>
        <v>0.20065391264517379</v>
      </c>
      <c r="AG8" s="41">
        <f t="shared" si="36"/>
        <v>4.1903225424004837</v>
      </c>
      <c r="AH8" s="25" t="s">
        <v>48</v>
      </c>
      <c r="AI8" s="21" t="s">
        <v>49</v>
      </c>
      <c r="AJ8" s="9">
        <f>(AI9-AH9)</f>
        <v>2.0729166666642413</v>
      </c>
      <c r="AK8" s="9">
        <v>275.30391666666662</v>
      </c>
      <c r="AL8">
        <v>283.27</v>
      </c>
      <c r="AM8">
        <v>0.27500000000000002</v>
      </c>
      <c r="AN8" s="14">
        <f t="shared" si="7"/>
        <v>5.0423496320591787E-2</v>
      </c>
      <c r="AO8" s="41">
        <f t="shared" si="37"/>
        <v>2.5085689419465065</v>
      </c>
      <c r="AP8" s="21">
        <v>44451.777777777781</v>
      </c>
      <c r="AQ8" s="21">
        <v>44453.618750000001</v>
      </c>
      <c r="AR8" s="9">
        <f t="shared" si="38"/>
        <v>1.8409722222204437</v>
      </c>
      <c r="AS8" s="9">
        <v>275.34574999999995</v>
      </c>
      <c r="AT8">
        <v>231.029</v>
      </c>
      <c r="AU8">
        <v>0.01</v>
      </c>
      <c r="AV8" s="14">
        <f t="shared" si="8"/>
        <v>4.6298560895041634E-2</v>
      </c>
      <c r="AW8" s="41">
        <f t="shared" si="39"/>
        <v>2.0456247488772799</v>
      </c>
      <c r="AX8" s="21">
        <v>44453.792361111111</v>
      </c>
      <c r="AY8" s="21">
        <v>44456.588194444441</v>
      </c>
      <c r="AZ8" s="9">
        <f t="shared" si="9"/>
        <v>2.7958333333299379</v>
      </c>
      <c r="BA8" s="9">
        <v>275.28258333333332</v>
      </c>
      <c r="BB8">
        <v>190.29599999999999</v>
      </c>
      <c r="BC8">
        <v>0.20300000000000001</v>
      </c>
      <c r="BD8" s="14">
        <f t="shared" si="10"/>
        <v>2.5116912505859894E-2</v>
      </c>
      <c r="BE8" s="41">
        <f t="shared" si="40"/>
        <v>1.6853448291411519</v>
      </c>
      <c r="BF8" s="21">
        <v>44456.599305555559</v>
      </c>
      <c r="BG8" s="21">
        <v>44459.64166666667</v>
      </c>
      <c r="BH8" s="9">
        <f t="shared" si="41"/>
        <v>3.0423611111109494</v>
      </c>
      <c r="BI8" s="9">
        <v>274.02612499999998</v>
      </c>
      <c r="BJ8">
        <v>125.629</v>
      </c>
      <c r="BK8">
        <v>0.32800000000000001</v>
      </c>
      <c r="BL8" s="14">
        <f t="shared" si="11"/>
        <v>1.5307835237886171E-2</v>
      </c>
      <c r="BM8" s="41">
        <f t="shared" si="42"/>
        <v>1.1177271029529292</v>
      </c>
      <c r="BN8" s="21">
        <v>44459.659722222219</v>
      </c>
      <c r="BO8" s="21">
        <v>44461.45416666667</v>
      </c>
      <c r="BP8" s="9">
        <f t="shared" si="12"/>
        <v>1.7944444444510737</v>
      </c>
      <c r="BQ8" s="9">
        <v>276.14041666666662</v>
      </c>
      <c r="BR8">
        <v>122.595</v>
      </c>
      <c r="BS8">
        <v>0.14699999999999999</v>
      </c>
      <c r="BT8" s="14">
        <f t="shared" si="13"/>
        <v>2.5132712990962133E-2</v>
      </c>
      <c r="BU8" s="41">
        <f t="shared" si="43"/>
        <v>1.0823821728147678</v>
      </c>
      <c r="BV8" s="21">
        <v>44461.51458333333</v>
      </c>
      <c r="BW8" s="21">
        <v>44466.497916666667</v>
      </c>
      <c r="BX8" s="9">
        <f t="shared" si="44"/>
        <v>4.9833333333372138</v>
      </c>
      <c r="BY8" s="9">
        <v>276.28674999999998</v>
      </c>
      <c r="BZ8">
        <v>238.279</v>
      </c>
      <c r="CA8">
        <v>0.30599999999999999</v>
      </c>
      <c r="CB8" s="14">
        <f t="shared" si="14"/>
        <v>1.7580546851826195E-2</v>
      </c>
      <c r="CC8" s="41">
        <f t="shared" si="45"/>
        <v>2.1026334034800502</v>
      </c>
      <c r="CD8" s="21">
        <v>44466.566666666666</v>
      </c>
      <c r="CE8" s="21">
        <v>44473.519444444442</v>
      </c>
      <c r="CF8" s="9">
        <f t="shared" si="15"/>
        <v>6.952777777776646</v>
      </c>
      <c r="CG8" s="9">
        <v>276.3075833333333</v>
      </c>
      <c r="CH8">
        <v>621.904</v>
      </c>
      <c r="CI8">
        <v>0.39700000000000002</v>
      </c>
      <c r="CJ8" s="14">
        <f t="shared" si="16"/>
        <v>3.2885072503558044E-2</v>
      </c>
      <c r="CK8" s="41">
        <f t="shared" si="46"/>
        <v>5.4874224317594926</v>
      </c>
      <c r="CL8" s="21">
        <v>44473.559027777781</v>
      </c>
      <c r="CM8" s="21">
        <v>44477.589583333334</v>
      </c>
      <c r="CN8" s="9">
        <f t="shared" si="47"/>
        <v>4.0305555555532919</v>
      </c>
      <c r="CO8" s="9">
        <v>276.45387499999998</v>
      </c>
      <c r="CP8">
        <v>894.68700000000001</v>
      </c>
      <c r="CQ8">
        <v>0.25600000000000001</v>
      </c>
      <c r="CR8" s="14">
        <f t="shared" si="17"/>
        <v>8.1566183190183356E-2</v>
      </c>
      <c r="CS8" s="41">
        <f t="shared" si="48"/>
        <v>7.8901687872593058</v>
      </c>
      <c r="CT8" s="21">
        <v>44477.634722222225</v>
      </c>
      <c r="CU8" s="21">
        <v>44483.53402777778</v>
      </c>
      <c r="CV8" s="9">
        <f t="shared" si="18"/>
        <v>5.8993055555547471</v>
      </c>
      <c r="CW8" s="9">
        <v>277.06033333333329</v>
      </c>
      <c r="CX8">
        <v>1855.664</v>
      </c>
      <c r="CY8">
        <v>0.311</v>
      </c>
      <c r="CZ8" s="14">
        <f t="shared" si="19"/>
        <v>0.11533223435936835</v>
      </c>
      <c r="DA8" s="41">
        <f t="shared" si="49"/>
        <v>16.329122181378331</v>
      </c>
      <c r="DB8" s="21">
        <v>44483.569444444445</v>
      </c>
      <c r="DC8" s="21">
        <v>44491.570833333331</v>
      </c>
      <c r="DD8" s="9">
        <f t="shared" si="50"/>
        <v>8.0013888888861402</v>
      </c>
      <c r="DE8" s="9">
        <v>277.24849999999998</v>
      </c>
      <c r="DF8">
        <v>2214.3580000000002</v>
      </c>
      <c r="DG8">
        <v>0.39600000000000002</v>
      </c>
      <c r="DH8" s="14">
        <f t="shared" si="20"/>
        <v>0.10140044441003779</v>
      </c>
      <c r="DI8" s="41">
        <f t="shared" si="51"/>
        <v>19.472265341534232</v>
      </c>
      <c r="DJ8" s="21">
        <v>44491.589583333334</v>
      </c>
      <c r="DK8" s="21">
        <v>44498.622916666667</v>
      </c>
      <c r="DL8" s="9">
        <f t="shared" si="21"/>
        <v>7.0333333333328483</v>
      </c>
      <c r="DM8" s="9">
        <v>276.97687499999995</v>
      </c>
      <c r="DN8">
        <v>1416.54</v>
      </c>
      <c r="DO8">
        <v>0.65</v>
      </c>
      <c r="DP8" s="14">
        <f t="shared" si="22"/>
        <v>7.3867047050597739E-2</v>
      </c>
      <c r="DQ8" s="41">
        <f t="shared" si="52"/>
        <v>12.468757542140038</v>
      </c>
      <c r="DR8" s="21">
        <v>44498.637499999997</v>
      </c>
      <c r="DS8" s="21">
        <v>44505.570138888892</v>
      </c>
      <c r="DT8" s="9">
        <f t="shared" si="53"/>
        <v>6.9326388888948713</v>
      </c>
      <c r="DU8" s="9">
        <v>276.60066666666665</v>
      </c>
      <c r="DV8">
        <v>827.26099999999997</v>
      </c>
      <c r="DW8">
        <v>0.38200000000000001</v>
      </c>
      <c r="DX8" s="14">
        <f t="shared" si="23"/>
        <v>4.3824538955866951E-2</v>
      </c>
      <c r="DY8" s="41">
        <f t="shared" si="54"/>
        <v>7.2916728732799552</v>
      </c>
      <c r="DZ8" s="21">
        <v>44505.579861111109</v>
      </c>
      <c r="EA8" s="21">
        <v>44512.563888888886</v>
      </c>
      <c r="EB8" s="9">
        <f t="shared" si="24"/>
        <v>6.984027777776646</v>
      </c>
      <c r="EC8" s="9">
        <v>277.08091666666667</v>
      </c>
      <c r="ED8">
        <v>719.00800000000004</v>
      </c>
      <c r="EE8">
        <v>0.52200000000000002</v>
      </c>
      <c r="EF8" s="14">
        <f t="shared" si="25"/>
        <v>3.7743985404098498E-2</v>
      </c>
      <c r="EG8" s="41">
        <f t="shared" si="55"/>
        <v>6.3265210201492845</v>
      </c>
      <c r="EH8" s="21">
        <v>44512.625694444447</v>
      </c>
      <c r="EI8" s="21">
        <v>44521.657638888886</v>
      </c>
      <c r="EJ8" s="9">
        <f t="shared" si="56"/>
        <v>9.0319444444394321</v>
      </c>
      <c r="EK8" s="9">
        <v>276.87229166666663</v>
      </c>
      <c r="EL8">
        <v>711.35299999999995</v>
      </c>
      <c r="EM8">
        <v>0.32300000000000001</v>
      </c>
      <c r="EN8" s="14">
        <f t="shared" si="26"/>
        <v>2.8896884445975775E-2</v>
      </c>
      <c r="EO8" s="41">
        <f t="shared" si="57"/>
        <v>6.2638813184025386</v>
      </c>
      <c r="EP8" s="21">
        <v>44521.722222222219</v>
      </c>
      <c r="EQ8" s="21">
        <v>44530.540972222225</v>
      </c>
      <c r="ER8" s="9">
        <f t="shared" si="27"/>
        <v>8.8187500000058208</v>
      </c>
      <c r="ES8" s="9">
        <v>276.64249999999998</v>
      </c>
      <c r="ET8">
        <v>778.59400000000005</v>
      </c>
      <c r="EU8">
        <v>0.59599999999999997</v>
      </c>
      <c r="EV8" s="14">
        <f t="shared" si="28"/>
        <v>3.2419904239169024E-2</v>
      </c>
      <c r="EW8" s="41">
        <f t="shared" si="58"/>
        <v>6.861672732224652</v>
      </c>
      <c r="EX8" s="21">
        <v>44530.611805555556</v>
      </c>
      <c r="EY8" s="21">
        <v>44539.578472222223</v>
      </c>
      <c r="EZ8" s="9">
        <f t="shared" si="29"/>
        <v>8.9666666666671517</v>
      </c>
      <c r="FA8" s="9">
        <v>276.01466666666664</v>
      </c>
      <c r="FB8">
        <v>705.91700000000003</v>
      </c>
      <c r="FC8">
        <v>0.32700000000000001</v>
      </c>
      <c r="FD8" s="14">
        <f t="shared" si="30"/>
        <v>2.8974574196453082E-2</v>
      </c>
      <c r="FE8" s="41">
        <f t="shared" si="59"/>
        <v>6.2353283670770407</v>
      </c>
      <c r="FF8" s="21">
        <v>44539.627083333333</v>
      </c>
      <c r="FG8" s="21">
        <v>44543.517361111109</v>
      </c>
      <c r="FH8" s="9">
        <f t="shared" si="60"/>
        <v>3.890277777776646</v>
      </c>
      <c r="FI8" s="9">
        <v>276.78899999999999</v>
      </c>
      <c r="FJ8">
        <v>362.89499999999998</v>
      </c>
      <c r="FK8">
        <v>0.253</v>
      </c>
      <c r="FL8" s="14">
        <f t="shared" si="31"/>
        <v>3.4235616454616036E-2</v>
      </c>
      <c r="FM8" s="36">
        <f t="shared" si="61"/>
        <v>3.1964653896450539</v>
      </c>
      <c r="FS8" s="7"/>
      <c r="FT8" s="7"/>
      <c r="FU8" s="9"/>
      <c r="FX8" s="14"/>
      <c r="GE8" s="7"/>
      <c r="GF8" s="7"/>
      <c r="GG8" s="9"/>
      <c r="GJ8" s="14"/>
      <c r="GK8" s="7"/>
      <c r="GL8" s="7"/>
      <c r="GM8" s="9"/>
      <c r="GP8" s="14"/>
      <c r="GQ8" s="7"/>
      <c r="GR8" s="7"/>
      <c r="GS8" s="9"/>
      <c r="GV8" s="14"/>
      <c r="GW8" s="7"/>
      <c r="GX8" s="7"/>
      <c r="GY8" s="9"/>
      <c r="HB8" s="14"/>
      <c r="HC8" s="7"/>
      <c r="HD8" s="7"/>
      <c r="HE8" s="9"/>
      <c r="HH8" s="14"/>
      <c r="HI8" s="7"/>
      <c r="HJ8" s="7"/>
      <c r="HK8" s="9"/>
      <c r="HN8" s="14"/>
      <c r="HO8" s="7"/>
      <c r="HP8" s="7"/>
      <c r="HQ8" s="9"/>
      <c r="HT8" s="14"/>
      <c r="HU8" s="7"/>
      <c r="HV8" s="7"/>
      <c r="HW8" s="9"/>
      <c r="HZ8" s="14"/>
      <c r="IG8" s="7"/>
      <c r="IH8" s="7"/>
      <c r="II8" s="9"/>
      <c r="IL8" s="14"/>
    </row>
    <row r="9" spans="1:246" ht="19" x14ac:dyDescent="0.25">
      <c r="A9" s="29" t="s">
        <v>26</v>
      </c>
      <c r="B9">
        <v>473.17599999999999</v>
      </c>
      <c r="C9">
        <f>Vol_soil_calc!L8</f>
        <v>14.451071371374494</v>
      </c>
      <c r="D9" s="28">
        <v>8.2057366080959995E-2</v>
      </c>
      <c r="E9">
        <v>275.14999999999998</v>
      </c>
      <c r="F9">
        <f t="shared" si="0"/>
        <v>0.45872492862862552</v>
      </c>
      <c r="G9">
        <v>0.20500000000000007</v>
      </c>
      <c r="H9">
        <v>29.507999999999999</v>
      </c>
      <c r="I9" s="9">
        <f t="shared" si="1"/>
        <v>24.487966804979251</v>
      </c>
      <c r="J9" s="6">
        <v>44447.815972222219</v>
      </c>
      <c r="K9" s="7">
        <v>44447.859722222223</v>
      </c>
      <c r="L9" s="9">
        <f t="shared" si="32"/>
        <v>4.3750000004365575E-2</v>
      </c>
      <c r="M9" s="9">
        <v>275.14999999999998</v>
      </c>
      <c r="N9" s="29">
        <v>181.74799999999999</v>
      </c>
      <c r="O9" s="29">
        <v>4.8000000000000001E-2</v>
      </c>
      <c r="P9" s="14">
        <f t="shared" si="2"/>
        <v>1.7233524722135316</v>
      </c>
      <c r="Q9" s="41">
        <f t="shared" si="33"/>
        <v>1.8095200960047704</v>
      </c>
      <c r="R9" s="6"/>
      <c r="S9" s="30">
        <v>0.66180555555555554</v>
      </c>
      <c r="T9" s="9">
        <f t="shared" si="3"/>
        <v>0.66180555555555554</v>
      </c>
      <c r="U9" s="9">
        <v>275.14999999999998</v>
      </c>
      <c r="V9">
        <v>631.31100000000004</v>
      </c>
      <c r="W9">
        <v>0.66200000000000003</v>
      </c>
      <c r="X9" s="14">
        <f t="shared" si="4"/>
        <v>0.39572681207992078</v>
      </c>
      <c r="Y9" s="36">
        <f t="shared" si="34"/>
        <v>6.2854608652027411</v>
      </c>
      <c r="Z9" s="6">
        <v>44448.698611111111</v>
      </c>
      <c r="AA9" s="7">
        <v>44449.574305555558</v>
      </c>
      <c r="AB9" s="9">
        <f t="shared" si="35"/>
        <v>0.87569444444670808</v>
      </c>
      <c r="AC9">
        <v>278.97624999999999</v>
      </c>
      <c r="AD9">
        <v>394.69600000000003</v>
      </c>
      <c r="AE9">
        <v>0.28599999999999998</v>
      </c>
      <c r="AF9" s="14">
        <f t="shared" si="5"/>
        <v>0.18441444844887614</v>
      </c>
      <c r="AG9" s="41">
        <f t="shared" si="36"/>
        <v>3.8757769915772324</v>
      </c>
      <c r="AH9" s="7">
        <v>44449.625</v>
      </c>
      <c r="AI9" s="21">
        <v>44451.697916666664</v>
      </c>
      <c r="AJ9" s="9">
        <f>(AI10-AH10)</f>
        <v>2.0694444444452529</v>
      </c>
      <c r="AK9" s="9">
        <v>275.30391666666662</v>
      </c>
      <c r="AL9">
        <v>286.88799999999998</v>
      </c>
      <c r="AM9">
        <v>0.19900000000000001</v>
      </c>
      <c r="AN9" s="14">
        <f t="shared" si="7"/>
        <v>5.7477552456376486E-2</v>
      </c>
      <c r="AO9" s="41">
        <f t="shared" si="37"/>
        <v>2.8547184386678142</v>
      </c>
      <c r="AP9" s="21">
        <v>44451.777777777781</v>
      </c>
      <c r="AQ9" s="21">
        <v>44453.623611111114</v>
      </c>
      <c r="AR9" s="9">
        <f t="shared" si="38"/>
        <v>1.8458333333328483</v>
      </c>
      <c r="AS9" s="9">
        <v>275.34574999999995</v>
      </c>
      <c r="AT9">
        <v>151.131</v>
      </c>
      <c r="AU9">
        <v>0.16</v>
      </c>
      <c r="AV9" s="14">
        <f t="shared" si="8"/>
        <v>3.394178980144931E-2</v>
      </c>
      <c r="AW9" s="41">
        <f t="shared" si="39"/>
        <v>1.5036212882038091</v>
      </c>
      <c r="AX9" s="21">
        <v>44453.792361111111</v>
      </c>
      <c r="AY9" s="21">
        <v>44456.574999999997</v>
      </c>
      <c r="AZ9" s="9">
        <f t="shared" si="9"/>
        <v>2.7826388888861402</v>
      </c>
      <c r="BA9" s="9">
        <v>275.28258333333332</v>
      </c>
      <c r="BB9">
        <v>167.422</v>
      </c>
      <c r="BC9">
        <v>3.6999999999999998E-2</v>
      </c>
      <c r="BD9" s="14">
        <f t="shared" si="10"/>
        <v>2.4947612268991927E-2</v>
      </c>
      <c r="BE9" s="41">
        <f t="shared" si="40"/>
        <v>1.6660847060291983</v>
      </c>
      <c r="BF9" s="21">
        <v>44456.599305555559</v>
      </c>
      <c r="BG9" s="21">
        <v>44459.636111111111</v>
      </c>
      <c r="BH9" s="9">
        <f t="shared" si="41"/>
        <v>3.0368055555518367</v>
      </c>
      <c r="BI9" s="9">
        <v>274.02612499999998</v>
      </c>
      <c r="BJ9">
        <v>109.246</v>
      </c>
      <c r="BK9">
        <v>4.3999999999999997E-2</v>
      </c>
      <c r="BL9" s="14">
        <f t="shared" si="11"/>
        <v>1.4984720106355896E-2</v>
      </c>
      <c r="BM9" s="41">
        <f t="shared" si="42"/>
        <v>1.0921363504169015</v>
      </c>
      <c r="BN9" s="21">
        <v>44459.659722222219</v>
      </c>
      <c r="BO9" s="21">
        <v>44461.504861111112</v>
      </c>
      <c r="BP9" s="9">
        <f t="shared" si="12"/>
        <v>1.8451388888934162</v>
      </c>
      <c r="BQ9" s="9">
        <v>276.14041666666662</v>
      </c>
      <c r="BR9">
        <v>115.196</v>
      </c>
      <c r="BS9">
        <v>2.3E-2</v>
      </c>
      <c r="BT9" s="14">
        <f t="shared" si="13"/>
        <v>2.5806577197332821E-2</v>
      </c>
      <c r="BU9" s="41">
        <f t="shared" si="43"/>
        <v>1.1428012602246924</v>
      </c>
      <c r="BV9" s="21">
        <v>44461.51458333333</v>
      </c>
      <c r="BW9" s="21">
        <v>44466.490972222222</v>
      </c>
      <c r="BX9" s="9">
        <f t="shared" si="44"/>
        <v>4.976388888891961</v>
      </c>
      <c r="BY9" s="9">
        <v>276.28674999999998</v>
      </c>
      <c r="BZ9">
        <v>326.36700000000002</v>
      </c>
      <c r="CA9">
        <v>6.5000000000000002E-2</v>
      </c>
      <c r="CB9" s="14">
        <f t="shared" si="14"/>
        <v>2.7094673094622948E-2</v>
      </c>
      <c r="CC9" s="41">
        <f t="shared" si="45"/>
        <v>3.2360071232697987</v>
      </c>
      <c r="CD9" s="21">
        <v>44466.566666666666</v>
      </c>
      <c r="CE9" s="21">
        <v>44473.522222222222</v>
      </c>
      <c r="CF9" s="9">
        <f t="shared" si="15"/>
        <v>6.9555555555562023</v>
      </c>
      <c r="CG9" s="9">
        <v>276.3075833333333</v>
      </c>
      <c r="CH9">
        <v>924.79899999999998</v>
      </c>
      <c r="CI9">
        <v>3.4000000000000002E-2</v>
      </c>
      <c r="CJ9" s="14">
        <f t="shared" si="16"/>
        <v>5.4925594824653541E-2</v>
      </c>
      <c r="CK9" s="41">
        <f t="shared" si="46"/>
        <v>9.1689126293963508</v>
      </c>
      <c r="CL9" s="21">
        <v>44473.559027777781</v>
      </c>
      <c r="CM9" s="21">
        <v>44477.594444444447</v>
      </c>
      <c r="CN9" s="9">
        <f t="shared" si="47"/>
        <v>4.0354166666656965</v>
      </c>
      <c r="CO9" s="9">
        <v>276.45387499999998</v>
      </c>
      <c r="CP9">
        <v>1011.088</v>
      </c>
      <c r="CQ9">
        <v>2.1000000000000001E-2</v>
      </c>
      <c r="CR9" s="14">
        <f t="shared" si="17"/>
        <v>0.1034498669724566</v>
      </c>
      <c r="CS9" s="41">
        <f t="shared" si="48"/>
        <v>10.019119616280014</v>
      </c>
      <c r="CT9" s="21">
        <v>44477.634722222225</v>
      </c>
      <c r="CU9" s="21">
        <v>44483.512499999997</v>
      </c>
      <c r="CV9" s="9">
        <f t="shared" si="18"/>
        <v>5.8777777777722804</v>
      </c>
      <c r="CW9" s="9">
        <v>277.06033333333329</v>
      </c>
      <c r="CX9">
        <v>1745.98</v>
      </c>
      <c r="CY9">
        <v>2.7E-2</v>
      </c>
      <c r="CZ9" s="14">
        <f t="shared" si="19"/>
        <v>0.12237812507777707</v>
      </c>
      <c r="DA9" s="41">
        <f t="shared" si="49"/>
        <v>17.263474177622271</v>
      </c>
      <c r="DB9" s="21">
        <v>44483.569444444445</v>
      </c>
      <c r="DC9" s="21">
        <v>44491.568055555559</v>
      </c>
      <c r="DD9" s="9">
        <f t="shared" si="50"/>
        <v>7.9986111111138598</v>
      </c>
      <c r="DE9" s="9">
        <v>277.24849999999998</v>
      </c>
      <c r="DF9">
        <v>1640.0219999999999</v>
      </c>
      <c r="DG9">
        <v>2.4E-2</v>
      </c>
      <c r="DH9" s="14">
        <f t="shared" si="20"/>
        <v>8.4414671010603876E-2</v>
      </c>
      <c r="DI9" s="41">
        <f t="shared" si="51"/>
        <v>16.204803011674493</v>
      </c>
      <c r="DJ9" s="21">
        <v>44491.589583333334</v>
      </c>
      <c r="DK9" s="21">
        <v>44498.618055555555</v>
      </c>
      <c r="DL9" s="9">
        <f t="shared" si="21"/>
        <v>7.0284722222204437</v>
      </c>
      <c r="DM9" s="9">
        <v>276.97687499999995</v>
      </c>
      <c r="DN9">
        <v>894.19500000000005</v>
      </c>
      <c r="DO9">
        <v>2.8000000000000001E-2</v>
      </c>
      <c r="DP9" s="14">
        <f t="shared" si="22"/>
        <v>5.2429997732375451E-2</v>
      </c>
      <c r="DQ9" s="41">
        <f t="shared" si="52"/>
        <v>8.8440667841539611</v>
      </c>
      <c r="DR9" s="21">
        <v>44498.637499999997</v>
      </c>
      <c r="DS9" s="21">
        <v>44505.560416666667</v>
      </c>
      <c r="DT9" s="9">
        <f t="shared" si="53"/>
        <v>6.9229166666700621</v>
      </c>
      <c r="DU9" s="9">
        <v>276.60066666666665</v>
      </c>
      <c r="DV9">
        <v>592.346</v>
      </c>
      <c r="DW9">
        <v>2.8000000000000001E-2</v>
      </c>
      <c r="DX9" s="14">
        <f t="shared" si="23"/>
        <v>3.5308980596633732E-2</v>
      </c>
      <c r="DY9" s="41">
        <f t="shared" si="54"/>
        <v>5.866587126133572</v>
      </c>
      <c r="DZ9" s="21">
        <v>44505.579861111109</v>
      </c>
      <c r="EA9" s="21">
        <v>44512.615277777775</v>
      </c>
      <c r="EB9" s="9">
        <f t="shared" si="24"/>
        <v>7.0354166666656965</v>
      </c>
      <c r="EC9" s="9">
        <v>277.08091666666667</v>
      </c>
      <c r="ED9">
        <v>401.25700000000001</v>
      </c>
      <c r="EE9">
        <v>2.5999999999999999E-2</v>
      </c>
      <c r="EF9" s="14">
        <f t="shared" si="25"/>
        <v>2.3495150344601461E-2</v>
      </c>
      <c r="EG9" s="41">
        <f t="shared" si="55"/>
        <v>3.9671561356854097</v>
      </c>
      <c r="EH9" s="21">
        <v>44512.625694444447</v>
      </c>
      <c r="EI9" s="21">
        <v>44521.668055555558</v>
      </c>
      <c r="EJ9" s="9">
        <f t="shared" si="56"/>
        <v>9.0423611111109494</v>
      </c>
      <c r="EK9" s="9">
        <v>276.87229166666663</v>
      </c>
      <c r="EL9">
        <v>449.80700000000002</v>
      </c>
      <c r="EM9">
        <v>3.9E-2</v>
      </c>
      <c r="EN9" s="14">
        <f t="shared" si="26"/>
        <v>2.050769799202035E-2</v>
      </c>
      <c r="EO9" s="41">
        <f t="shared" si="57"/>
        <v>4.4505122592348698</v>
      </c>
      <c r="EP9" s="21">
        <v>44521.722222222219</v>
      </c>
      <c r="EQ9" s="21">
        <v>44530.55972222222</v>
      </c>
      <c r="ER9" s="9">
        <f t="shared" si="27"/>
        <v>8.8375000000014552</v>
      </c>
      <c r="ES9" s="9">
        <v>276.64249999999998</v>
      </c>
      <c r="ET9">
        <v>452.05399999999997</v>
      </c>
      <c r="EU9">
        <v>3.3000000000000002E-2</v>
      </c>
      <c r="EV9" s="14">
        <f t="shared" si="28"/>
        <v>2.1105421725636914E-2</v>
      </c>
      <c r="EW9" s="41">
        <f t="shared" si="58"/>
        <v>4.4764599480083263</v>
      </c>
      <c r="EX9" s="21">
        <v>44530.611805555556</v>
      </c>
      <c r="EY9" s="21">
        <v>44539.591666666667</v>
      </c>
      <c r="EZ9" s="9">
        <f t="shared" si="29"/>
        <v>8.9798611111109494</v>
      </c>
      <c r="FA9" s="9">
        <v>276.01466666666664</v>
      </c>
      <c r="FB9">
        <v>484.834</v>
      </c>
      <c r="FC9">
        <v>5.8999999999999997E-2</v>
      </c>
      <c r="FD9" s="14">
        <f t="shared" si="30"/>
        <v>2.2327666369788234E-2</v>
      </c>
      <c r="FE9" s="41">
        <f t="shared" si="59"/>
        <v>4.8119842304621079</v>
      </c>
      <c r="FF9" s="21">
        <v>44539.627083333333</v>
      </c>
      <c r="FG9" s="21">
        <v>44543.504861111112</v>
      </c>
      <c r="FH9" s="9">
        <f t="shared" si="60"/>
        <v>3.8777777777795563</v>
      </c>
      <c r="FI9" s="9">
        <v>276.78899999999999</v>
      </c>
      <c r="FJ9">
        <v>217.23699999999999</v>
      </c>
      <c r="FK9">
        <v>2.3E-2</v>
      </c>
      <c r="FL9" s="14">
        <f t="shared" si="31"/>
        <v>2.3102240362719951E-2</v>
      </c>
      <c r="FM9" s="36">
        <f t="shared" si="61"/>
        <v>2.1500485030914565</v>
      </c>
      <c r="FS9" s="12"/>
      <c r="FT9" s="7"/>
      <c r="FU9" s="9"/>
      <c r="FV9" s="1"/>
      <c r="FX9" s="14"/>
      <c r="GE9" s="7"/>
      <c r="GF9" s="7"/>
      <c r="GG9" s="9"/>
      <c r="GJ9" s="14"/>
      <c r="GK9" s="7"/>
      <c r="GL9" s="7"/>
      <c r="GM9" s="9"/>
      <c r="GP9" s="14"/>
      <c r="GQ9" s="12"/>
      <c r="GR9" s="7"/>
      <c r="GS9" s="9"/>
      <c r="GV9" s="14"/>
      <c r="GW9" s="7"/>
      <c r="GX9" s="7"/>
      <c r="GY9" s="9"/>
      <c r="HB9" s="14"/>
      <c r="HC9" s="7"/>
      <c r="HD9" s="7"/>
      <c r="HE9" s="9"/>
      <c r="HH9" s="14"/>
      <c r="HI9" s="7"/>
      <c r="HJ9" s="7"/>
      <c r="HK9" s="9"/>
      <c r="HN9" s="14"/>
      <c r="HO9" s="7"/>
      <c r="HP9" s="7"/>
      <c r="HQ9" s="9"/>
      <c r="HT9" s="14"/>
      <c r="HU9" s="7"/>
      <c r="HV9" s="7"/>
      <c r="HW9" s="9"/>
      <c r="HZ9" s="14"/>
      <c r="IG9" s="7"/>
      <c r="IH9" s="7"/>
      <c r="II9" s="9"/>
      <c r="IL9" s="14"/>
    </row>
    <row r="10" spans="1:246" ht="19" x14ac:dyDescent="0.25">
      <c r="A10" s="29" t="s">
        <v>27</v>
      </c>
      <c r="B10">
        <v>473.17599999999999</v>
      </c>
      <c r="C10">
        <f>Vol_soil_calc!L9</f>
        <v>17.197234753550557</v>
      </c>
      <c r="D10" s="28">
        <v>8.2057366080959995E-2</v>
      </c>
      <c r="E10">
        <v>275.14999999999998</v>
      </c>
      <c r="F10">
        <f t="shared" si="0"/>
        <v>0.45597876524644942</v>
      </c>
      <c r="G10">
        <v>0.28000000000000114</v>
      </c>
      <c r="H10">
        <v>33.094999999999999</v>
      </c>
      <c r="I10" s="9">
        <f t="shared" si="1"/>
        <v>25.855468749999975</v>
      </c>
      <c r="J10" s="6">
        <v>44447.815972222219</v>
      </c>
      <c r="K10" s="7">
        <v>44447.865972222222</v>
      </c>
      <c r="L10" s="9">
        <f t="shared" si="32"/>
        <v>5.0000000002910383E-2</v>
      </c>
      <c r="M10" s="9">
        <v>275.14999999999998</v>
      </c>
      <c r="N10" s="29">
        <v>248.44900000000001</v>
      </c>
      <c r="O10" s="29">
        <v>0.125</v>
      </c>
      <c r="P10" s="14">
        <f t="shared" si="2"/>
        <v>1.9406283237183573</v>
      </c>
      <c r="Q10" s="41">
        <f t="shared" si="33"/>
        <v>2.3287539885975801</v>
      </c>
      <c r="R10" s="6"/>
      <c r="S10" s="30">
        <v>0.66597222222222219</v>
      </c>
      <c r="T10" s="9">
        <f t="shared" si="3"/>
        <v>0.66597222222222219</v>
      </c>
      <c r="U10" s="9">
        <v>275.14999999999998</v>
      </c>
      <c r="V10">
        <v>956.298</v>
      </c>
      <c r="W10">
        <v>0.629</v>
      </c>
      <c r="X10" s="14">
        <f t="shared" si="4"/>
        <v>0.56080548082041681</v>
      </c>
      <c r="Y10" s="36">
        <f t="shared" si="34"/>
        <v>8.9635409351129951</v>
      </c>
      <c r="Z10" s="6">
        <v>44448.698611111111</v>
      </c>
      <c r="AA10" s="7">
        <v>44449.578472222223</v>
      </c>
      <c r="AB10" s="9">
        <f t="shared" si="35"/>
        <v>0.87986111111240461</v>
      </c>
      <c r="AC10">
        <v>278.97624999999999</v>
      </c>
      <c r="AD10">
        <v>429.04399999999998</v>
      </c>
      <c r="AE10">
        <v>0.158</v>
      </c>
      <c r="AF10" s="14">
        <f t="shared" si="5"/>
        <v>0.18783006641545139</v>
      </c>
      <c r="AG10" s="41">
        <f t="shared" si="36"/>
        <v>3.9663449024787791</v>
      </c>
      <c r="AH10" s="7">
        <v>44449.625</v>
      </c>
      <c r="AI10" s="21">
        <v>44451.694444444445</v>
      </c>
      <c r="AJ10" s="9">
        <f t="shared" si="6"/>
        <v>2.0694444444452529</v>
      </c>
      <c r="AK10" s="9">
        <v>275.30391666666662</v>
      </c>
      <c r="AL10">
        <v>239.73099999999999</v>
      </c>
      <c r="AM10">
        <v>2.4E-2</v>
      </c>
      <c r="AN10" s="14">
        <f t="shared" si="7"/>
        <v>4.5217096219680002E-2</v>
      </c>
      <c r="AO10" s="41">
        <f t="shared" si="37"/>
        <v>2.2457824455783175</v>
      </c>
      <c r="AP10" s="21">
        <v>44451.785416666666</v>
      </c>
      <c r="AQ10" s="21">
        <v>44453.629166666666</v>
      </c>
      <c r="AR10" s="9">
        <f t="shared" si="38"/>
        <v>1.84375</v>
      </c>
      <c r="AS10" s="9">
        <v>275.34574999999995</v>
      </c>
      <c r="AT10">
        <v>220.11600000000001</v>
      </c>
      <c r="AU10">
        <v>0.13</v>
      </c>
      <c r="AV10" s="14">
        <f t="shared" si="8"/>
        <v>4.659248085529314E-2</v>
      </c>
      <c r="AW10" s="41">
        <f t="shared" si="39"/>
        <v>2.0617172778467214</v>
      </c>
      <c r="AX10" s="21">
        <v>44453.792361111111</v>
      </c>
      <c r="AY10" s="21">
        <v>44456.557638888888</v>
      </c>
      <c r="AZ10" s="9">
        <f t="shared" si="9"/>
        <v>2.765277777776646</v>
      </c>
      <c r="BA10" s="9">
        <v>275.28258333333332</v>
      </c>
      <c r="BB10">
        <v>179.315</v>
      </c>
      <c r="BC10">
        <v>0.02</v>
      </c>
      <c r="BD10" s="14">
        <f t="shared" si="10"/>
        <v>2.5313007970890897E-2</v>
      </c>
      <c r="BE10" s="41">
        <f t="shared" si="40"/>
        <v>1.6799399623341049</v>
      </c>
      <c r="BF10" s="21">
        <v>44456.599305555559</v>
      </c>
      <c r="BG10" s="21">
        <v>44459.631944444445</v>
      </c>
      <c r="BH10" s="9">
        <f t="shared" si="41"/>
        <v>3.0326388888861402</v>
      </c>
      <c r="BI10" s="9">
        <v>274.02612499999998</v>
      </c>
      <c r="BJ10">
        <v>78.070999999999998</v>
      </c>
      <c r="BK10">
        <v>1.7999999999999999E-2</v>
      </c>
      <c r="BL10" s="14">
        <f t="shared" si="11"/>
        <v>1.0095357597279354E-2</v>
      </c>
      <c r="BM10" s="41">
        <f t="shared" si="42"/>
        <v>0.73477377712131631</v>
      </c>
      <c r="BN10" s="21">
        <v>44459.659722222219</v>
      </c>
      <c r="BO10" s="21">
        <v>44461.500694444447</v>
      </c>
      <c r="BP10" s="9">
        <f t="shared" si="12"/>
        <v>1.8409722222277196</v>
      </c>
      <c r="BQ10" s="9">
        <v>276.14041666666662</v>
      </c>
      <c r="BR10">
        <v>128.02000000000001</v>
      </c>
      <c r="BS10">
        <v>5.1999999999999998E-2</v>
      </c>
      <c r="BT10" s="14">
        <f t="shared" si="13"/>
        <v>2.7061087498737871E-2</v>
      </c>
      <c r="BU10" s="41">
        <f t="shared" si="43"/>
        <v>1.1956490493228054</v>
      </c>
      <c r="BV10" s="21">
        <v>44461.51458333333</v>
      </c>
      <c r="BW10" s="21">
        <v>44466.486805555556</v>
      </c>
      <c r="BX10" s="9">
        <f t="shared" si="44"/>
        <v>4.9722222222262644</v>
      </c>
      <c r="BY10" s="9">
        <v>276.28674999999998</v>
      </c>
      <c r="BZ10">
        <v>204.137</v>
      </c>
      <c r="CA10">
        <v>3.3000000000000002E-2</v>
      </c>
      <c r="CB10" s="14">
        <f t="shared" si="14"/>
        <v>1.5968193041632543E-2</v>
      </c>
      <c r="CC10" s="41">
        <f t="shared" si="45"/>
        <v>1.9055377029696992</v>
      </c>
      <c r="CD10" s="21">
        <v>44466.566666666666</v>
      </c>
      <c r="CE10" s="21">
        <v>44473.52847222222</v>
      </c>
      <c r="CF10" s="9">
        <f t="shared" si="15"/>
        <v>6.9618055555547471</v>
      </c>
      <c r="CG10" s="9">
        <v>276.3075833333333</v>
      </c>
      <c r="CH10">
        <v>739.64599999999996</v>
      </c>
      <c r="CI10">
        <v>5.1999999999999998E-2</v>
      </c>
      <c r="CJ10" s="14">
        <f t="shared" si="16"/>
        <v>4.1319385439351063E-2</v>
      </c>
      <c r="CK10" s="41">
        <f t="shared" si="46"/>
        <v>6.9037806504907717</v>
      </c>
      <c r="CL10" s="21">
        <v>44473.559027777781</v>
      </c>
      <c r="CM10" s="21">
        <v>44477.598611111112</v>
      </c>
      <c r="CN10" s="9">
        <f t="shared" si="47"/>
        <v>4.0395833333313931</v>
      </c>
      <c r="CO10" s="9">
        <v>276.45387499999998</v>
      </c>
      <c r="CP10">
        <v>917.55</v>
      </c>
      <c r="CQ10">
        <v>2.9000000000000001E-2</v>
      </c>
      <c r="CR10" s="14">
        <f t="shared" si="17"/>
        <v>8.829073255982077E-2</v>
      </c>
      <c r="CS10" s="41">
        <f t="shared" si="48"/>
        <v>8.559786521670512</v>
      </c>
      <c r="CT10" s="21">
        <v>44477.634722222225</v>
      </c>
      <c r="CU10" s="21">
        <v>44483.51666666667</v>
      </c>
      <c r="CV10" s="9">
        <f t="shared" si="18"/>
        <v>5.8819444444452529</v>
      </c>
      <c r="CW10" s="9">
        <v>277.06033333333329</v>
      </c>
      <c r="CX10">
        <v>1863.9649999999999</v>
      </c>
      <c r="CY10">
        <v>4.5999999999999999E-2</v>
      </c>
      <c r="CZ10" s="14">
        <f t="shared" si="19"/>
        <v>0.12290997115969486</v>
      </c>
      <c r="DA10" s="41">
        <f t="shared" si="49"/>
        <v>17.350790928712645</v>
      </c>
      <c r="DB10" s="21">
        <v>44483.569444444445</v>
      </c>
      <c r="DC10" s="21">
        <v>44491.544444444444</v>
      </c>
      <c r="DD10" s="9">
        <f t="shared" si="50"/>
        <v>7.9749999999985448</v>
      </c>
      <c r="DE10" s="9">
        <v>277.24849999999998</v>
      </c>
      <c r="DF10">
        <v>2152.4989999999998</v>
      </c>
      <c r="DG10">
        <v>3.3000000000000002E-2</v>
      </c>
      <c r="DH10" s="14">
        <f t="shared" si="20"/>
        <v>0.10461349115683491</v>
      </c>
      <c r="DI10" s="41">
        <f t="shared" si="51"/>
        <v>20.023022207414549</v>
      </c>
      <c r="DJ10" s="21">
        <v>44491.589583333334</v>
      </c>
      <c r="DK10" s="21">
        <v>44498.613888888889</v>
      </c>
      <c r="DL10" s="9">
        <f t="shared" si="21"/>
        <v>7.0243055555547471</v>
      </c>
      <c r="DM10" s="9">
        <v>276.97687499999995</v>
      </c>
      <c r="DN10">
        <v>1150.431</v>
      </c>
      <c r="DO10">
        <v>2.5999999999999999E-2</v>
      </c>
      <c r="DP10" s="14">
        <f t="shared" si="22"/>
        <v>6.3541623066256867E-2</v>
      </c>
      <c r="DQ10" s="41">
        <f t="shared" si="52"/>
        <v>10.712058621918571</v>
      </c>
      <c r="DR10" s="21">
        <v>44498.637499999997</v>
      </c>
      <c r="DS10" s="21">
        <v>44505.56527777778</v>
      </c>
      <c r="DT10" s="9">
        <f t="shared" si="53"/>
        <v>6.9277777777824667</v>
      </c>
      <c r="DU10" s="9">
        <v>276.60066666666665</v>
      </c>
      <c r="DV10">
        <v>769.01599999999996</v>
      </c>
      <c r="DW10">
        <v>0.03</v>
      </c>
      <c r="DX10" s="14">
        <f t="shared" si="23"/>
        <v>4.3125370475180468E-2</v>
      </c>
      <c r="DY10" s="41">
        <f t="shared" si="54"/>
        <v>7.1703115976781922</v>
      </c>
      <c r="DZ10" s="21">
        <v>44505.579861111109</v>
      </c>
      <c r="EA10" s="21">
        <v>44512.611111111109</v>
      </c>
      <c r="EB10" s="9">
        <f t="shared" si="24"/>
        <v>7.03125</v>
      </c>
      <c r="EC10" s="9">
        <v>277.08091666666667</v>
      </c>
      <c r="ED10">
        <v>553.08900000000006</v>
      </c>
      <c r="EE10">
        <v>2.7E-2</v>
      </c>
      <c r="EF10" s="14">
        <f t="shared" si="25"/>
        <v>3.0507070084027553E-2</v>
      </c>
      <c r="EG10" s="41">
        <f t="shared" si="55"/>
        <v>5.1480680766796496</v>
      </c>
      <c r="EH10" s="21">
        <v>44512.625694444447</v>
      </c>
      <c r="EI10" s="21">
        <v>44521.627083333333</v>
      </c>
      <c r="EJ10" s="9">
        <f t="shared" si="56"/>
        <v>9.0013888888861402</v>
      </c>
      <c r="EK10" s="9">
        <v>276.87229166666663</v>
      </c>
      <c r="EL10">
        <v>536.81100000000004</v>
      </c>
      <c r="EM10">
        <v>3.9E-2</v>
      </c>
      <c r="EN10" s="14">
        <f t="shared" si="26"/>
        <v>2.3146057105808179E-2</v>
      </c>
      <c r="EO10" s="41">
        <f t="shared" si="57"/>
        <v>5.0003198700898999</v>
      </c>
      <c r="EP10" s="21">
        <v>44521.722222222219</v>
      </c>
      <c r="EQ10" s="21">
        <v>44530.527777777781</v>
      </c>
      <c r="ER10" s="9">
        <f t="shared" si="27"/>
        <v>8.8055555555620231</v>
      </c>
      <c r="ES10" s="9">
        <v>276.64249999999998</v>
      </c>
      <c r="ET10">
        <v>483.92599999999999</v>
      </c>
      <c r="EU10">
        <v>3.7999999999999999E-2</v>
      </c>
      <c r="EV10" s="14">
        <f t="shared" si="28"/>
        <v>2.1347544532725915E-2</v>
      </c>
      <c r="EW10" s="41">
        <f t="shared" si="58"/>
        <v>4.5114477445860572</v>
      </c>
      <c r="EX10" s="21">
        <v>44530.611805555556</v>
      </c>
      <c r="EY10" s="21">
        <v>44539.570138888892</v>
      </c>
      <c r="EZ10" s="9">
        <f t="shared" si="29"/>
        <v>8.9583333333357587</v>
      </c>
      <c r="FA10" s="9">
        <v>276.01466666666664</v>
      </c>
      <c r="FB10">
        <v>441.315</v>
      </c>
      <c r="FC10">
        <v>3.1E-2</v>
      </c>
      <c r="FD10" s="14">
        <f t="shared" si="30"/>
        <v>1.9179352672369483E-2</v>
      </c>
      <c r="FE10" s="41">
        <f t="shared" si="59"/>
        <v>4.1235608245605553</v>
      </c>
      <c r="FF10" s="21">
        <v>44539.627083333333</v>
      </c>
      <c r="FG10" s="21">
        <v>44543.495833333334</v>
      </c>
      <c r="FH10" s="9">
        <f t="shared" si="60"/>
        <v>3.8687500000014552</v>
      </c>
      <c r="FI10" s="9">
        <v>276.78899999999999</v>
      </c>
      <c r="FJ10">
        <v>272.19499999999999</v>
      </c>
      <c r="FK10">
        <v>4.2999999999999997E-2</v>
      </c>
      <c r="FL10" s="14">
        <f t="shared" si="31"/>
        <v>2.7315256586948954E-2</v>
      </c>
      <c r="FM10" s="36">
        <f t="shared" si="61"/>
        <v>2.5362215740991645</v>
      </c>
      <c r="FS10" s="12"/>
      <c r="FT10" s="7"/>
      <c r="FU10" s="9"/>
      <c r="FX10" s="14"/>
      <c r="GE10" s="7"/>
      <c r="GF10" s="7"/>
      <c r="GG10" s="9"/>
      <c r="GJ10" s="14"/>
      <c r="GK10" s="7"/>
      <c r="GL10" s="7"/>
      <c r="GM10" s="9"/>
      <c r="GP10" s="14"/>
      <c r="GQ10" s="12"/>
      <c r="GR10" s="7"/>
      <c r="GS10" s="9"/>
      <c r="GV10" s="14"/>
      <c r="GW10" s="7"/>
      <c r="GX10" s="7"/>
      <c r="GY10" s="9"/>
      <c r="HB10" s="14"/>
      <c r="HC10" s="7"/>
      <c r="HD10" s="7"/>
      <c r="HE10" s="9"/>
      <c r="HH10" s="14"/>
      <c r="HI10" s="7"/>
      <c r="HJ10" s="7"/>
      <c r="HK10" s="9"/>
      <c r="HN10" s="14"/>
      <c r="HO10" s="7"/>
      <c r="HP10" s="7"/>
      <c r="HQ10" s="9"/>
      <c r="HT10" s="14"/>
      <c r="HU10" s="7"/>
      <c r="HV10" s="25"/>
      <c r="HW10" s="9"/>
      <c r="HZ10" s="14"/>
      <c r="IG10" s="7"/>
      <c r="IH10" s="7"/>
      <c r="II10" s="9"/>
      <c r="IL10" s="14"/>
    </row>
    <row r="11" spans="1:246" ht="19" x14ac:dyDescent="0.25">
      <c r="A11" s="29" t="s">
        <v>28</v>
      </c>
      <c r="B11">
        <v>473.17599999999999</v>
      </c>
      <c r="C11">
        <f>Vol_soil_calc!L10</f>
        <v>27.612865379389159</v>
      </c>
      <c r="D11" s="28">
        <v>8.2057366080959995E-2</v>
      </c>
      <c r="E11">
        <v>275.14999999999998</v>
      </c>
      <c r="F11">
        <f t="shared" si="0"/>
        <v>0.44556313462061081</v>
      </c>
      <c r="G11">
        <v>3.3160000000000007</v>
      </c>
      <c r="H11">
        <v>30.701000000000001</v>
      </c>
      <c r="I11" s="9">
        <f t="shared" si="1"/>
        <v>7.1132993512511575</v>
      </c>
      <c r="J11" s="6">
        <v>44447.815972222219</v>
      </c>
      <c r="K11" s="7">
        <v>44447.871527777781</v>
      </c>
      <c r="L11" s="9">
        <f t="shared" si="32"/>
        <v>5.5555555562023073E-2</v>
      </c>
      <c r="M11" s="9">
        <v>275.14999999999998</v>
      </c>
      <c r="N11" s="29">
        <v>128.59899999999999</v>
      </c>
      <c r="O11" s="29">
        <v>0.94699999999999995</v>
      </c>
      <c r="P11" s="14">
        <f t="shared" si="2"/>
        <v>3.2109325008101344</v>
      </c>
      <c r="Q11" s="41">
        <f t="shared" si="33"/>
        <v>4.281243334911915</v>
      </c>
      <c r="R11" s="6"/>
      <c r="S11" s="30">
        <v>0.67013888888888884</v>
      </c>
      <c r="T11" s="9">
        <f t="shared" si="3"/>
        <v>0.67013888888888884</v>
      </c>
      <c r="U11" s="9">
        <v>275.14999999999998</v>
      </c>
      <c r="V11">
        <v>827.76099999999997</v>
      </c>
      <c r="W11">
        <v>5.4290000000000003</v>
      </c>
      <c r="X11" s="14">
        <f t="shared" si="4"/>
        <v>1.7134096913702248</v>
      </c>
      <c r="Y11" s="36">
        <f t="shared" si="34"/>
        <v>27.557339202871113</v>
      </c>
      <c r="Z11" s="6">
        <v>44448.698611111111</v>
      </c>
      <c r="AA11" s="7">
        <v>44449.584722222222</v>
      </c>
      <c r="AB11" s="9">
        <f t="shared" si="35"/>
        <v>0.88611111111094942</v>
      </c>
      <c r="AC11">
        <v>278.97624999999999</v>
      </c>
      <c r="AD11">
        <v>946.64099999999996</v>
      </c>
      <c r="AE11">
        <v>3.7330000000000001</v>
      </c>
      <c r="AF11" s="14">
        <f t="shared" si="5"/>
        <v>1.4615729357010616</v>
      </c>
      <c r="AG11" s="41">
        <f t="shared" si="36"/>
        <v>31.082784432570239</v>
      </c>
      <c r="AH11" s="7">
        <v>44449.625</v>
      </c>
      <c r="AI11" s="21">
        <v>44451.724305555559</v>
      </c>
      <c r="AJ11" s="9">
        <f t="shared" si="6"/>
        <v>2.0993055555591127</v>
      </c>
      <c r="AK11" s="9">
        <v>275.30391666666662</v>
      </c>
      <c r="AL11">
        <v>950.09199999999998</v>
      </c>
      <c r="AM11">
        <v>0.94199999999999995</v>
      </c>
      <c r="AN11" s="14">
        <f t="shared" si="7"/>
        <v>0.62743423672580789</v>
      </c>
      <c r="AO11" s="41">
        <f t="shared" si="37"/>
        <v>31.612228293755521</v>
      </c>
      <c r="AP11" s="21">
        <v>44451.785416666666</v>
      </c>
      <c r="AQ11" s="21">
        <v>44453.637499999997</v>
      </c>
      <c r="AR11" s="9">
        <f t="shared" si="38"/>
        <v>1.8520833333313931</v>
      </c>
      <c r="AS11" s="9">
        <v>275.34574999999995</v>
      </c>
      <c r="AT11">
        <v>885.26</v>
      </c>
      <c r="AU11">
        <v>0.01</v>
      </c>
      <c r="AV11" s="14">
        <f t="shared" si="8"/>
        <v>0.66255591712600093</v>
      </c>
      <c r="AW11" s="41">
        <f t="shared" si="39"/>
        <v>29.450610516219893</v>
      </c>
      <c r="AX11" s="21">
        <v>44453.792361111111</v>
      </c>
      <c r="AY11" s="21">
        <v>44456.584027777775</v>
      </c>
      <c r="AZ11" s="9">
        <f t="shared" si="9"/>
        <v>2.7916666666642413</v>
      </c>
      <c r="BA11" s="9">
        <v>275.28258333333332</v>
      </c>
      <c r="BB11">
        <v>2610.5920000000001</v>
      </c>
      <c r="BC11">
        <v>0.80200000000000005</v>
      </c>
      <c r="BD11" s="14">
        <f t="shared" si="10"/>
        <v>1.2965441301165037</v>
      </c>
      <c r="BE11" s="41">
        <f t="shared" si="40"/>
        <v>86.868456717730282</v>
      </c>
      <c r="BF11" s="21">
        <v>44456.599305555559</v>
      </c>
      <c r="BG11" s="21">
        <v>44459.599305555559</v>
      </c>
      <c r="BH11" s="9">
        <f t="shared" si="41"/>
        <v>3</v>
      </c>
      <c r="BI11" s="9">
        <v>274.02612499999998</v>
      </c>
      <c r="BJ11">
        <v>1468.404</v>
      </c>
      <c r="BK11">
        <v>0.47299999999999998</v>
      </c>
      <c r="BL11" s="14">
        <f t="shared" si="11"/>
        <v>0.68174652264420421</v>
      </c>
      <c r="BM11" s="41">
        <f t="shared" si="42"/>
        <v>49.085749630382708</v>
      </c>
      <c r="BN11" s="21">
        <v>44459.659722222219</v>
      </c>
      <c r="BO11" s="21">
        <v>44461.461111111108</v>
      </c>
      <c r="BP11" s="9">
        <f t="shared" si="12"/>
        <v>1.8013888888890506</v>
      </c>
      <c r="BQ11" s="9">
        <v>276.14041666666662</v>
      </c>
      <c r="BR11">
        <v>1347.635</v>
      </c>
      <c r="BS11">
        <v>0.255</v>
      </c>
      <c r="BT11" s="14">
        <f t="shared" si="13"/>
        <v>1.0340116286054555</v>
      </c>
      <c r="BU11" s="41">
        <f t="shared" si="43"/>
        <v>44.703769410046533</v>
      </c>
      <c r="BV11" s="21">
        <v>44461.51458333333</v>
      </c>
      <c r="BW11" s="21">
        <v>44466.518750000003</v>
      </c>
      <c r="BX11" s="9">
        <f t="shared" si="44"/>
        <v>5.0041666666729725</v>
      </c>
      <c r="BY11" s="9">
        <v>276.28674999999998</v>
      </c>
      <c r="BZ11">
        <v>9099.7909999999993</v>
      </c>
      <c r="CA11">
        <v>0.89400000000000002</v>
      </c>
      <c r="CB11" s="14">
        <f t="shared" si="14"/>
        <v>2.5120610570557464</v>
      </c>
      <c r="CC11" s="41">
        <f t="shared" si="45"/>
        <v>301.69853295277534</v>
      </c>
      <c r="CD11" s="21">
        <v>44466.566666666666</v>
      </c>
      <c r="CE11" s="21">
        <v>44473.53402777778</v>
      </c>
      <c r="CF11" s="9">
        <f t="shared" si="15"/>
        <v>6.9673611111138598</v>
      </c>
      <c r="CG11" s="9">
        <v>276.3075833333333</v>
      </c>
      <c r="CH11">
        <v>5505.8040000000001</v>
      </c>
      <c r="CI11">
        <v>0.41699999999999998</v>
      </c>
      <c r="CJ11" s="14">
        <f t="shared" si="16"/>
        <v>1.0915665510700174</v>
      </c>
      <c r="CK11" s="41">
        <f t="shared" si="46"/>
        <v>182.52812011483007</v>
      </c>
      <c r="CL11" s="21">
        <v>44473.559027777781</v>
      </c>
      <c r="CM11" s="21">
        <v>44477.613194444442</v>
      </c>
      <c r="CN11" s="9">
        <f t="shared" si="47"/>
        <v>4.054166666661331</v>
      </c>
      <c r="CO11" s="9">
        <v>276.45387499999998</v>
      </c>
      <c r="CP11">
        <v>1807.1890000000001</v>
      </c>
      <c r="CQ11">
        <v>0.23200000000000001</v>
      </c>
      <c r="CR11" s="14">
        <f t="shared" si="17"/>
        <v>0.61541756966746408</v>
      </c>
      <c r="CS11" s="41">
        <f t="shared" si="48"/>
        <v>59.880129528565448</v>
      </c>
      <c r="CT11" s="21">
        <v>44477.634722222225</v>
      </c>
      <c r="CU11" s="21">
        <v>44483.552777777775</v>
      </c>
      <c r="CV11" s="9">
        <f t="shared" si="18"/>
        <v>5.9180555555503815</v>
      </c>
      <c r="CW11" s="9">
        <v>277.06033333333329</v>
      </c>
      <c r="CX11">
        <v>1668.509</v>
      </c>
      <c r="CY11">
        <v>7.0999999999999994E-2</v>
      </c>
      <c r="CZ11" s="14">
        <f t="shared" si="19"/>
        <v>0.38838796158648786</v>
      </c>
      <c r="DA11" s="41">
        <f t="shared" si="49"/>
        <v>55.164036810619265</v>
      </c>
      <c r="DB11" s="21">
        <v>44483.569444444445</v>
      </c>
      <c r="DC11" s="21">
        <v>44491.579861111109</v>
      </c>
      <c r="DD11" s="9">
        <f t="shared" si="50"/>
        <v>8.0104166666642413</v>
      </c>
      <c r="DE11" s="9">
        <v>277.24849999999998</v>
      </c>
      <c r="DF11">
        <v>2148.078</v>
      </c>
      <c r="DG11">
        <v>8.4000000000000005E-2</v>
      </c>
      <c r="DH11" s="14">
        <f t="shared" si="20"/>
        <v>0.36916144049546162</v>
      </c>
      <c r="DI11" s="41">
        <f t="shared" si="51"/>
        <v>70.971286935231007</v>
      </c>
      <c r="DJ11" s="21">
        <v>44491.589583333334</v>
      </c>
      <c r="DK11" s="21">
        <v>44498.581944444442</v>
      </c>
      <c r="DL11" s="9">
        <f t="shared" si="21"/>
        <v>6.992361111108039</v>
      </c>
      <c r="DM11" s="9">
        <v>276.97687499999995</v>
      </c>
      <c r="DN11">
        <v>1826.8430000000001</v>
      </c>
      <c r="DO11">
        <v>6.6000000000000003E-2</v>
      </c>
      <c r="DP11" s="14">
        <f t="shared" si="22"/>
        <v>0.36001820506746801</v>
      </c>
      <c r="DQ11" s="41">
        <f t="shared" si="52"/>
        <v>60.417055113712379</v>
      </c>
      <c r="DR11" s="21">
        <v>44498.637499999997</v>
      </c>
      <c r="DS11" s="21">
        <v>44505.522916666669</v>
      </c>
      <c r="DT11" s="9">
        <f t="shared" si="53"/>
        <v>6.8854166666715173</v>
      </c>
      <c r="DU11" s="9">
        <v>276.60066666666665</v>
      </c>
      <c r="DV11">
        <v>2365.81</v>
      </c>
      <c r="DW11">
        <v>0.114</v>
      </c>
      <c r="DX11" s="14">
        <f t="shared" si="23"/>
        <v>0.47411861917230963</v>
      </c>
      <c r="DY11" s="41">
        <f t="shared" si="54"/>
        <v>78.34810181827936</v>
      </c>
      <c r="DZ11" s="21">
        <v>44505.579861111109</v>
      </c>
      <c r="EA11" s="21">
        <v>44512.571527777778</v>
      </c>
      <c r="EB11" s="9">
        <f t="shared" si="24"/>
        <v>6.9916666666686069</v>
      </c>
      <c r="EC11" s="9">
        <v>277.08091666666667</v>
      </c>
      <c r="ED11">
        <v>2409.877</v>
      </c>
      <c r="EE11">
        <v>6.3E-2</v>
      </c>
      <c r="EF11" s="14">
        <f t="shared" si="25"/>
        <v>0.4747862607175794</v>
      </c>
      <c r="EG11" s="41">
        <f t="shared" si="55"/>
        <v>79.669134548431927</v>
      </c>
      <c r="EH11" s="21">
        <v>44512.625694444447</v>
      </c>
      <c r="EI11" s="21">
        <v>44521.636805555558</v>
      </c>
      <c r="EJ11" s="9">
        <f t="shared" si="56"/>
        <v>9.0111111111109494</v>
      </c>
      <c r="EK11" s="9">
        <v>276.87229166666663</v>
      </c>
      <c r="EL11">
        <v>2521.0619999999999</v>
      </c>
      <c r="EM11">
        <v>9.0999999999999998E-2</v>
      </c>
      <c r="EN11" s="14">
        <f t="shared" si="26"/>
        <v>0.38567037743964561</v>
      </c>
      <c r="EO11" s="41">
        <f t="shared" si="57"/>
        <v>83.407646960945868</v>
      </c>
      <c r="EP11" s="21">
        <v>44521.722222222219</v>
      </c>
      <c r="EQ11" s="21">
        <v>44530.552083333336</v>
      </c>
      <c r="ER11" s="9">
        <f t="shared" si="27"/>
        <v>8.8298611111167702</v>
      </c>
      <c r="ES11" s="9">
        <v>276.64249999999998</v>
      </c>
      <c r="ET11">
        <v>2119.4140000000002</v>
      </c>
      <c r="EU11">
        <v>9.2999999999999999E-2</v>
      </c>
      <c r="EV11" s="14">
        <f t="shared" si="28"/>
        <v>0.33115675813484186</v>
      </c>
      <c r="EW11" s="41">
        <f t="shared" si="58"/>
        <v>70.177636328120215</v>
      </c>
      <c r="EX11" s="21">
        <v>44530.611805555556</v>
      </c>
      <c r="EY11" s="21">
        <v>44539.585416666669</v>
      </c>
      <c r="EZ11" s="9">
        <f t="shared" si="29"/>
        <v>8.9736111111124046</v>
      </c>
      <c r="FA11" s="9">
        <v>276.01466666666664</v>
      </c>
      <c r="FB11">
        <v>1897.231</v>
      </c>
      <c r="FC11">
        <v>6.2E-2</v>
      </c>
      <c r="FD11" s="14">
        <f t="shared" si="30"/>
        <v>0.29235559148173607</v>
      </c>
      <c r="FE11" s="41">
        <f t="shared" si="59"/>
        <v>62.963649218792298</v>
      </c>
      <c r="FF11" s="21">
        <v>44539.627083333333</v>
      </c>
      <c r="FG11" s="21">
        <v>44543.521527777775</v>
      </c>
      <c r="FH11" s="9">
        <f t="shared" si="60"/>
        <v>3.8944444444423425</v>
      </c>
      <c r="FI11" s="9">
        <v>276.78899999999999</v>
      </c>
      <c r="FJ11">
        <v>986.84900000000005</v>
      </c>
      <c r="FK11">
        <v>3.3000000000000002E-2</v>
      </c>
      <c r="FL11" s="14">
        <f t="shared" si="31"/>
        <v>0.34941935890206777</v>
      </c>
      <c r="FM11" s="36">
        <f t="shared" si="61"/>
        <v>32.659062745362306</v>
      </c>
      <c r="FS11" s="7"/>
      <c r="FT11" s="7"/>
      <c r="FU11" s="9"/>
      <c r="FV11" s="1"/>
      <c r="FX11" s="14"/>
      <c r="GE11" s="7"/>
      <c r="GF11" s="7"/>
      <c r="GG11" s="9"/>
      <c r="GJ11" s="14"/>
      <c r="GK11" s="7"/>
      <c r="GL11" s="7"/>
      <c r="GM11" s="9"/>
      <c r="GP11" s="14"/>
      <c r="GQ11" s="7"/>
      <c r="GR11" s="7"/>
      <c r="GS11" s="9"/>
      <c r="GV11" s="14"/>
      <c r="GW11" s="7"/>
      <c r="GX11" s="7"/>
      <c r="GY11" s="9"/>
      <c r="HB11" s="14"/>
      <c r="HC11" s="7"/>
      <c r="HD11" s="7"/>
      <c r="HE11" s="9"/>
      <c r="HH11" s="14"/>
      <c r="HI11" s="7"/>
      <c r="HJ11" s="7"/>
      <c r="HK11" s="9"/>
      <c r="HN11" s="14"/>
      <c r="HO11" s="7"/>
      <c r="HP11" s="7"/>
      <c r="HQ11" s="9"/>
      <c r="HT11" s="14"/>
      <c r="HU11" s="7"/>
      <c r="HV11" s="7"/>
      <c r="HW11" s="9"/>
      <c r="HZ11" s="14"/>
      <c r="IG11" s="7"/>
      <c r="IH11" s="7"/>
      <c r="II11" s="9"/>
      <c r="IL11" s="14"/>
    </row>
    <row r="12" spans="1:246" ht="19" x14ac:dyDescent="0.25">
      <c r="A12" s="29" t="s">
        <v>29</v>
      </c>
      <c r="B12">
        <v>473.17599999999999</v>
      </c>
      <c r="C12">
        <f>Vol_soil_calc!L11</f>
        <v>26.721797514935375</v>
      </c>
      <c r="D12" s="28">
        <v>8.2057366080959995E-2</v>
      </c>
      <c r="E12">
        <v>275.14999999999998</v>
      </c>
      <c r="F12">
        <f t="shared" si="0"/>
        <v>0.44645420248506462</v>
      </c>
      <c r="G12">
        <v>3.633999999999999</v>
      </c>
      <c r="H12">
        <v>29.484000000000002</v>
      </c>
      <c r="I12" s="9">
        <f t="shared" si="1"/>
        <v>6.3625377643504555</v>
      </c>
      <c r="J12" s="6">
        <v>44447.815972222219</v>
      </c>
      <c r="K12" s="7">
        <v>44447.877083333333</v>
      </c>
      <c r="L12" s="9">
        <f t="shared" si="32"/>
        <v>6.1111111113859806E-2</v>
      </c>
      <c r="M12" s="9">
        <v>275.14999999999998</v>
      </c>
      <c r="N12" s="29">
        <v>128.87100000000001</v>
      </c>
      <c r="O12" s="29">
        <v>0.86199999999999999</v>
      </c>
      <c r="P12" s="14">
        <f t="shared" si="2"/>
        <v>3.2769097100247957</v>
      </c>
      <c r="Q12" s="41">
        <f t="shared" si="33"/>
        <v>4.8061342415858741</v>
      </c>
      <c r="R12" s="6"/>
      <c r="S12" s="30">
        <v>0.6743055555555556</v>
      </c>
      <c r="T12" s="9">
        <f t="shared" si="3"/>
        <v>0.6743055555555556</v>
      </c>
      <c r="U12" s="9">
        <v>275.14999999999998</v>
      </c>
      <c r="V12">
        <v>753.70600000000002</v>
      </c>
      <c r="W12">
        <v>5.2649999999999997</v>
      </c>
      <c r="X12" s="14">
        <f t="shared" si="4"/>
        <v>1.7368995056363201</v>
      </c>
      <c r="Y12" s="36">
        <f t="shared" si="34"/>
        <v>28.108823666214448</v>
      </c>
      <c r="Z12" s="6">
        <v>44448.698611111111</v>
      </c>
      <c r="AA12" s="7">
        <v>44449.592361111114</v>
      </c>
      <c r="AB12" s="9">
        <f t="shared" si="35"/>
        <v>0.89375000000291038</v>
      </c>
      <c r="AC12">
        <v>278.97624999999999</v>
      </c>
      <c r="AD12">
        <v>815.59299999999996</v>
      </c>
      <c r="AE12">
        <v>2.08</v>
      </c>
      <c r="AF12" s="14">
        <f t="shared" si="5"/>
        <v>1.3985860002153496</v>
      </c>
      <c r="AG12" s="41">
        <f t="shared" si="36"/>
        <v>29.99966970471694</v>
      </c>
      <c r="AH12" s="7">
        <v>44449.625</v>
      </c>
      <c r="AI12" s="21">
        <v>44451.719444444447</v>
      </c>
      <c r="AJ12" s="9">
        <f t="shared" si="6"/>
        <v>2.0944444444467081</v>
      </c>
      <c r="AK12" s="9">
        <v>275.30391666666662</v>
      </c>
      <c r="AL12">
        <v>851.62900000000002</v>
      </c>
      <c r="AM12">
        <v>0.21299999999999999</v>
      </c>
      <c r="AN12" s="14">
        <f t="shared" si="7"/>
        <v>0.63149247622942706</v>
      </c>
      <c r="AO12" s="41">
        <f t="shared" si="37"/>
        <v>31.74302180516684</v>
      </c>
      <c r="AP12" s="21">
        <v>44451.777777777781</v>
      </c>
      <c r="AQ12" s="21">
        <v>44453.640972222223</v>
      </c>
      <c r="AR12" s="9">
        <f t="shared" si="38"/>
        <v>1.8631944444423425</v>
      </c>
      <c r="AS12" s="9">
        <v>275.34574999999995</v>
      </c>
      <c r="AT12">
        <v>1009.492</v>
      </c>
      <c r="AU12">
        <v>0.01</v>
      </c>
      <c r="AV12" s="14">
        <f t="shared" si="8"/>
        <v>0.84132791229393589</v>
      </c>
      <c r="AW12" s="41">
        <f t="shared" si="39"/>
        <v>37.621379811368058</v>
      </c>
      <c r="AX12" s="21">
        <v>44453.792361111111</v>
      </c>
      <c r="AY12" s="21">
        <v>44456.538888888892</v>
      </c>
      <c r="AZ12" s="9">
        <f t="shared" si="9"/>
        <v>2.7465277777810115</v>
      </c>
      <c r="BA12" s="9">
        <v>275.28258333333332</v>
      </c>
      <c r="BB12">
        <v>1186.856</v>
      </c>
      <c r="BC12">
        <v>5.1999999999999998E-2</v>
      </c>
      <c r="BD12" s="14">
        <f t="shared" si="10"/>
        <v>0.67117268373305794</v>
      </c>
      <c r="BE12" s="41">
        <f t="shared" si="40"/>
        <v>44.241466069456159</v>
      </c>
      <c r="BF12" s="21">
        <v>44456.599305555559</v>
      </c>
      <c r="BG12" s="21">
        <v>44459.602777777778</v>
      </c>
      <c r="BH12" s="9">
        <f t="shared" si="41"/>
        <v>3.0034722222189885</v>
      </c>
      <c r="BI12" s="9">
        <v>274.02612499999998</v>
      </c>
      <c r="BJ12">
        <v>338.31700000000001</v>
      </c>
      <c r="BK12">
        <v>0.113</v>
      </c>
      <c r="BL12" s="14">
        <f t="shared" si="11"/>
        <v>0.17575480451786249</v>
      </c>
      <c r="BM12" s="41">
        <f t="shared" si="42"/>
        <v>12.668992158982281</v>
      </c>
      <c r="BN12" s="21">
        <v>44459.659722222219</v>
      </c>
      <c r="BO12" s="21">
        <v>44461.465277777781</v>
      </c>
      <c r="BP12" s="9">
        <f t="shared" si="12"/>
        <v>1.8055555555620231</v>
      </c>
      <c r="BQ12" s="9">
        <v>276.14041666666662</v>
      </c>
      <c r="BR12">
        <v>502.13</v>
      </c>
      <c r="BS12">
        <v>0.26100000000000001</v>
      </c>
      <c r="BT12" s="14">
        <f t="shared" si="13"/>
        <v>0.43060028362384561</v>
      </c>
      <c r="BU12" s="41">
        <f t="shared" si="43"/>
        <v>18.659345623766814</v>
      </c>
      <c r="BV12" s="21">
        <v>44461.51458333333</v>
      </c>
      <c r="BW12" s="21">
        <v>44466.513888888891</v>
      </c>
      <c r="BX12" s="9">
        <f t="shared" si="44"/>
        <v>4.9993055555605679</v>
      </c>
      <c r="BY12" s="9">
        <v>276.28674999999998</v>
      </c>
      <c r="BZ12">
        <v>950.77599999999995</v>
      </c>
      <c r="CA12">
        <v>0.06</v>
      </c>
      <c r="CB12" s="14">
        <f t="shared" si="14"/>
        <v>0.29431164438231106</v>
      </c>
      <c r="CC12" s="41">
        <f t="shared" si="45"/>
        <v>35.31249213183969</v>
      </c>
      <c r="CD12" s="21">
        <v>44466.566666666666</v>
      </c>
      <c r="CE12" s="21">
        <v>44473.540277777778</v>
      </c>
      <c r="CF12" s="9">
        <f t="shared" si="15"/>
        <v>6.9736111111124046</v>
      </c>
      <c r="CG12" s="9">
        <v>276.3075833333333</v>
      </c>
      <c r="CH12">
        <v>1310.162</v>
      </c>
      <c r="CI12">
        <v>0.35</v>
      </c>
      <c r="CJ12" s="14">
        <f t="shared" si="16"/>
        <v>0.29071901840051773</v>
      </c>
      <c r="CK12" s="41">
        <f t="shared" si="46"/>
        <v>48.65667304630901</v>
      </c>
      <c r="CL12" s="21">
        <v>44473.559027777781</v>
      </c>
      <c r="CM12" s="21">
        <v>44477.620138888888</v>
      </c>
      <c r="CN12" s="9">
        <f t="shared" si="47"/>
        <v>4.0611111111065838</v>
      </c>
      <c r="CO12" s="9">
        <v>276.45387499999998</v>
      </c>
      <c r="CP12">
        <v>833.85500000000002</v>
      </c>
      <c r="CQ12">
        <v>0.1</v>
      </c>
      <c r="CR12" s="14">
        <f t="shared" si="17"/>
        <v>0.31755719533757737</v>
      </c>
      <c r="CS12" s="41">
        <f t="shared" si="48"/>
        <v>30.951241305534708</v>
      </c>
      <c r="CT12" s="21">
        <v>44477.634722222225</v>
      </c>
      <c r="CU12" s="21">
        <v>44483.556944444441</v>
      </c>
      <c r="CV12" s="9">
        <f t="shared" si="18"/>
        <v>5.9222222222160781</v>
      </c>
      <c r="CW12" s="9">
        <v>277.06033333333329</v>
      </c>
      <c r="CX12">
        <v>1075.7840000000001</v>
      </c>
      <c r="CY12">
        <v>0.12</v>
      </c>
      <c r="CZ12" s="14">
        <f t="shared" si="19"/>
        <v>0.28032704740997899</v>
      </c>
      <c r="DA12" s="41">
        <f t="shared" si="49"/>
        <v>39.843817671830344</v>
      </c>
      <c r="DB12" s="21">
        <v>44483.569444444445</v>
      </c>
      <c r="DC12" s="21">
        <v>44491.529166666667</v>
      </c>
      <c r="DD12" s="9">
        <f t="shared" si="50"/>
        <v>7.9597222222218988</v>
      </c>
      <c r="DE12" s="9">
        <v>277.24849999999998</v>
      </c>
      <c r="DF12">
        <v>1411.797</v>
      </c>
      <c r="DG12">
        <v>0.13900000000000001</v>
      </c>
      <c r="DH12" s="14">
        <f t="shared" si="20"/>
        <v>0.27352946212890306</v>
      </c>
      <c r="DI12" s="41">
        <f t="shared" si="51"/>
        <v>52.253244915355992</v>
      </c>
      <c r="DJ12" s="21">
        <v>44491.589583333334</v>
      </c>
      <c r="DK12" s="21">
        <v>44498.585416666669</v>
      </c>
      <c r="DL12" s="9">
        <f t="shared" si="21"/>
        <v>6.9958333333343035</v>
      </c>
      <c r="DM12" s="9">
        <v>276.97687499999995</v>
      </c>
      <c r="DN12">
        <v>1908.414</v>
      </c>
      <c r="DO12">
        <v>7.8E-2</v>
      </c>
      <c r="DP12" s="14">
        <f t="shared" si="22"/>
        <v>0.4211032588507172</v>
      </c>
      <c r="DQ12" s="41">
        <f t="shared" si="52"/>
        <v>70.703237161045223</v>
      </c>
      <c r="DR12" s="21">
        <v>44498.637499999997</v>
      </c>
      <c r="DS12" s="21">
        <v>44505.52847222222</v>
      </c>
      <c r="DT12" s="9">
        <f t="shared" si="53"/>
        <v>6.890972222223354</v>
      </c>
      <c r="DU12" s="9">
        <v>276.60066666666665</v>
      </c>
      <c r="DV12">
        <v>2294.895</v>
      </c>
      <c r="DW12">
        <v>0.08</v>
      </c>
      <c r="DX12" s="14">
        <f t="shared" si="23"/>
        <v>0.51478759368499749</v>
      </c>
      <c r="DY12" s="41">
        <f t="shared" si="54"/>
        <v>85.137288202284481</v>
      </c>
      <c r="DZ12" s="21">
        <v>44505.579861111109</v>
      </c>
      <c r="EA12" s="21">
        <v>44512.577777777777</v>
      </c>
      <c r="EB12" s="9">
        <f t="shared" si="24"/>
        <v>6.9979166666671517</v>
      </c>
      <c r="EC12" s="9">
        <v>277.08091666666667</v>
      </c>
      <c r="ED12">
        <v>2125.6979999999999</v>
      </c>
      <c r="EE12">
        <v>9.8000000000000004E-2</v>
      </c>
      <c r="EF12" s="14">
        <f t="shared" si="25"/>
        <v>0.4687325959523152</v>
      </c>
      <c r="EG12" s="41">
        <f t="shared" si="55"/>
        <v>78.723639490196803</v>
      </c>
      <c r="EH12" s="21">
        <v>44512.625694444447</v>
      </c>
      <c r="EI12" s="21">
        <v>44521.629166666666</v>
      </c>
      <c r="EJ12" s="9">
        <f t="shared" si="56"/>
        <v>9.0034722222189885</v>
      </c>
      <c r="EK12" s="9">
        <v>276.87229166666663</v>
      </c>
      <c r="EL12">
        <v>1847.3320000000001</v>
      </c>
      <c r="EM12">
        <v>1.502</v>
      </c>
      <c r="EN12" s="14">
        <f t="shared" si="26"/>
        <v>0.31685050441889778</v>
      </c>
      <c r="EO12" s="41">
        <f t="shared" si="57"/>
        <v>68.466113163158909</v>
      </c>
      <c r="EP12" s="21">
        <v>44521.722222222219</v>
      </c>
      <c r="EQ12" s="21">
        <v>44530.568749999999</v>
      </c>
      <c r="ER12" s="9">
        <f t="shared" si="27"/>
        <v>8.8465277777795563</v>
      </c>
      <c r="ES12" s="9">
        <v>276.64249999999998</v>
      </c>
      <c r="ET12">
        <v>1788.001</v>
      </c>
      <c r="EU12">
        <v>0.11899999999999999</v>
      </c>
      <c r="EV12" s="14">
        <f t="shared" si="28"/>
        <v>0.3123740764742387</v>
      </c>
      <c r="EW12" s="41">
        <f t="shared" si="58"/>
        <v>66.322222670102121</v>
      </c>
      <c r="EX12" s="21">
        <v>44530.611805555556</v>
      </c>
      <c r="EY12" s="21">
        <v>44539.61041666667</v>
      </c>
      <c r="EZ12" s="9">
        <f t="shared" si="29"/>
        <v>8.9986111111138598</v>
      </c>
      <c r="FA12" s="9">
        <v>276.01466666666664</v>
      </c>
      <c r="FB12">
        <v>1669.79</v>
      </c>
      <c r="FC12">
        <v>7.2999999999999995E-2</v>
      </c>
      <c r="FD12" s="14">
        <f t="shared" si="30"/>
        <v>0.28744395936135742</v>
      </c>
      <c r="FE12" s="41">
        <f t="shared" si="59"/>
        <v>62.078313756760117</v>
      </c>
      <c r="FF12" s="21">
        <v>44539.627083333333</v>
      </c>
      <c r="FG12" s="21">
        <v>44543.527777777781</v>
      </c>
      <c r="FH12" s="9">
        <f t="shared" si="60"/>
        <v>3.9006944444481633</v>
      </c>
      <c r="FI12" s="9">
        <v>276.78899999999999</v>
      </c>
      <c r="FJ12">
        <v>953.26800000000003</v>
      </c>
      <c r="FK12">
        <v>3.5999999999999997E-2</v>
      </c>
      <c r="FL12" s="14">
        <f t="shared" si="31"/>
        <v>0.37750545367807653</v>
      </c>
      <c r="FM12" s="36">
        <f t="shared" si="61"/>
        <v>35.340802221862958</v>
      </c>
      <c r="FS12" s="7"/>
      <c r="FT12" s="7"/>
      <c r="FU12" s="9"/>
      <c r="FV12" s="1"/>
      <c r="FX12" s="14"/>
      <c r="GE12" s="7"/>
      <c r="GF12" s="7"/>
      <c r="GG12" s="9"/>
      <c r="GJ12" s="14"/>
      <c r="GK12" s="7"/>
      <c r="GL12" s="7"/>
      <c r="GM12" s="9"/>
      <c r="GP12" s="14"/>
      <c r="GQ12" s="7"/>
      <c r="GR12" s="7"/>
      <c r="GS12" s="9"/>
      <c r="GV12" s="14"/>
      <c r="GW12" s="7"/>
      <c r="GX12" s="7"/>
      <c r="GY12" s="9"/>
      <c r="HB12" s="14"/>
      <c r="HC12" s="7"/>
      <c r="HD12" s="7"/>
      <c r="HE12" s="9"/>
      <c r="HH12" s="14"/>
      <c r="HI12" s="7"/>
      <c r="HJ12" s="7"/>
      <c r="HK12" s="9"/>
      <c r="HN12" s="14"/>
      <c r="HO12" s="7"/>
      <c r="HP12" s="7"/>
      <c r="HQ12" s="9"/>
      <c r="HT12" s="14"/>
      <c r="HU12" s="7"/>
      <c r="HV12" s="7"/>
      <c r="HW12" s="9"/>
      <c r="HZ12" s="14"/>
      <c r="IG12" s="7"/>
      <c r="IH12" s="7"/>
      <c r="II12" s="9"/>
      <c r="IL12" s="14"/>
    </row>
    <row r="13" spans="1:246" ht="19" x14ac:dyDescent="0.25">
      <c r="A13" s="29" t="s">
        <v>30</v>
      </c>
      <c r="B13">
        <v>473.17599999999999</v>
      </c>
      <c r="C13">
        <f>Vol_soil_calc!L12</f>
        <v>28.846111771317052</v>
      </c>
      <c r="D13" s="28">
        <v>8.2057366080959995E-2</v>
      </c>
      <c r="E13">
        <v>275.14999999999998</v>
      </c>
      <c r="F13">
        <f t="shared" si="0"/>
        <v>0.44432988822868291</v>
      </c>
      <c r="G13">
        <v>3.3149999999999995</v>
      </c>
      <c r="H13">
        <v>32.073</v>
      </c>
      <c r="I13" s="9">
        <f t="shared" si="1"/>
        <v>7.4329084588644276</v>
      </c>
      <c r="J13" s="6">
        <v>44447.815972222219</v>
      </c>
      <c r="K13" s="7">
        <v>44447.884027777778</v>
      </c>
      <c r="L13" s="9">
        <f t="shared" si="32"/>
        <v>6.805555555911269E-2</v>
      </c>
      <c r="M13" s="9">
        <v>275.14999999999998</v>
      </c>
      <c r="N13" s="29">
        <v>304.01100000000002</v>
      </c>
      <c r="O13" s="29">
        <v>1.5589999999999999</v>
      </c>
      <c r="P13" s="14">
        <f t="shared" si="2"/>
        <v>5.9136466619777899</v>
      </c>
      <c r="Q13" s="41">
        <f t="shared" si="33"/>
        <v>9.6589562150685779</v>
      </c>
      <c r="R13" s="6"/>
      <c r="S13" s="30">
        <v>0.67986111111111114</v>
      </c>
      <c r="T13" s="9">
        <f t="shared" si="3"/>
        <v>0.67986111111111114</v>
      </c>
      <c r="U13" s="9">
        <v>275.14999999999998</v>
      </c>
      <c r="V13">
        <v>794.44</v>
      </c>
      <c r="W13">
        <v>3.8239999999999998</v>
      </c>
      <c r="X13" s="14">
        <f t="shared" si="4"/>
        <v>1.5469296396855516</v>
      </c>
      <c r="Y13" s="36">
        <f t="shared" si="34"/>
        <v>25.240735287535916</v>
      </c>
      <c r="Z13" s="6">
        <v>44448.698611111111</v>
      </c>
      <c r="AA13" s="7">
        <v>44449.597222222219</v>
      </c>
      <c r="AB13" s="9">
        <f t="shared" si="35"/>
        <v>0.89861111110803904</v>
      </c>
      <c r="AC13">
        <v>278.97624999999999</v>
      </c>
      <c r="AD13">
        <v>746.66600000000005</v>
      </c>
      <c r="AE13">
        <v>2.028</v>
      </c>
      <c r="AF13" s="14">
        <f t="shared" si="5"/>
        <v>1.0848920689234751</v>
      </c>
      <c r="AG13" s="41">
        <f t="shared" si="36"/>
        <v>23.397505619702962</v>
      </c>
      <c r="AH13" s="21">
        <v>44449.633333333331</v>
      </c>
      <c r="AI13" s="21">
        <v>44451.714583333334</v>
      </c>
      <c r="AJ13" s="9">
        <f t="shared" si="6"/>
        <v>2.0812500000029104</v>
      </c>
      <c r="AK13" s="9">
        <v>275.30391666666662</v>
      </c>
      <c r="AL13">
        <v>1091.681</v>
      </c>
      <c r="AM13">
        <v>0.372</v>
      </c>
      <c r="AN13" s="14">
        <f t="shared" si="7"/>
        <v>0.69399810689116248</v>
      </c>
      <c r="AO13" s="41">
        <f t="shared" si="37"/>
        <v>34.665205439262039</v>
      </c>
      <c r="AP13" s="21">
        <v>44451.785416666666</v>
      </c>
      <c r="AQ13" s="21">
        <v>44453.645833333336</v>
      </c>
      <c r="AR13" s="9">
        <f t="shared" si="38"/>
        <v>1.8604166666700621</v>
      </c>
      <c r="AS13" s="9">
        <v>275.34574999999995</v>
      </c>
      <c r="AT13">
        <v>1053.277</v>
      </c>
      <c r="AU13">
        <v>0.01</v>
      </c>
      <c r="AV13" s="14">
        <f t="shared" si="8"/>
        <v>0.74895060626362275</v>
      </c>
      <c r="AW13" s="41">
        <f t="shared" si="39"/>
        <v>33.440644569731788</v>
      </c>
      <c r="AX13" s="21">
        <v>44453.792361111111</v>
      </c>
      <c r="AY13" s="21">
        <v>44456.54583333333</v>
      </c>
      <c r="AZ13" s="9">
        <f t="shared" si="9"/>
        <v>2.7534722222189885</v>
      </c>
      <c r="BA13" s="9">
        <v>275.28258333333332</v>
      </c>
      <c r="BB13">
        <v>1170.7760000000001</v>
      </c>
      <c r="BC13">
        <v>7.6999999999999999E-2</v>
      </c>
      <c r="BD13" s="14">
        <f t="shared" si="10"/>
        <v>0.56261790768220599</v>
      </c>
      <c r="BE13" s="41">
        <f t="shared" si="40"/>
        <v>37.179666732622117</v>
      </c>
      <c r="BF13" s="21">
        <v>44456.599305555559</v>
      </c>
      <c r="BG13" s="21">
        <v>44459.606249999997</v>
      </c>
      <c r="BH13" s="9">
        <f t="shared" si="41"/>
        <v>3.0069444444379769</v>
      </c>
      <c r="BI13" s="9">
        <v>274.02612499999998</v>
      </c>
      <c r="BJ13">
        <v>539.14499999999998</v>
      </c>
      <c r="BK13">
        <v>0.10100000000000001</v>
      </c>
      <c r="BL13" s="14">
        <f t="shared" si="11"/>
        <v>0.23833475802598195</v>
      </c>
      <c r="BM13" s="41">
        <f t="shared" si="42"/>
        <v>17.199825037504702</v>
      </c>
      <c r="BN13" s="21">
        <v>44459.659722222219</v>
      </c>
      <c r="BO13" s="21">
        <v>44461.488888888889</v>
      </c>
      <c r="BP13" s="9">
        <f t="shared" si="12"/>
        <v>1.8291666666700621</v>
      </c>
      <c r="BQ13" s="9">
        <v>276.14041666666662</v>
      </c>
      <c r="BR13">
        <v>454.185</v>
      </c>
      <c r="BS13">
        <v>0.03</v>
      </c>
      <c r="BT13" s="14">
        <f t="shared" si="13"/>
        <v>0.32752820686630213</v>
      </c>
      <c r="BU13" s="41">
        <f t="shared" si="43"/>
        <v>14.378488281457354</v>
      </c>
      <c r="BV13" s="21">
        <v>44461.51458333333</v>
      </c>
      <c r="BW13" s="21">
        <v>44466.509722222225</v>
      </c>
      <c r="BX13" s="9">
        <f t="shared" si="44"/>
        <v>4.9951388888948713</v>
      </c>
      <c r="BY13" s="9">
        <v>276.28674999999998</v>
      </c>
      <c r="BZ13">
        <v>929.94899999999996</v>
      </c>
      <c r="CA13">
        <v>5.2999999999999999E-2</v>
      </c>
      <c r="CB13" s="14">
        <f t="shared" si="14"/>
        <v>0.24544301698964133</v>
      </c>
      <c r="CC13" s="41">
        <f t="shared" si="45"/>
        <v>29.424527020143408</v>
      </c>
      <c r="CD13" s="21">
        <v>44466.566666666666</v>
      </c>
      <c r="CE13" s="21">
        <v>44473.543749999997</v>
      </c>
      <c r="CF13" s="9">
        <f t="shared" si="15"/>
        <v>6.9770833333313931</v>
      </c>
      <c r="CG13" s="9">
        <v>276.3075833333333</v>
      </c>
      <c r="CH13">
        <v>1323.876</v>
      </c>
      <c r="CI13">
        <v>6.7000000000000004E-2</v>
      </c>
      <c r="CJ13" s="14">
        <f t="shared" si="16"/>
        <v>0.25013805547859808</v>
      </c>
      <c r="CK13" s="41">
        <f t="shared" si="46"/>
        <v>41.885617389879599</v>
      </c>
      <c r="CL13" s="21">
        <v>44473.559027777781</v>
      </c>
      <c r="CM13" s="21">
        <v>44477.625</v>
      </c>
      <c r="CN13" s="9">
        <f t="shared" si="47"/>
        <v>4.0659722222189885</v>
      </c>
      <c r="CO13" s="9">
        <v>276.45387499999998</v>
      </c>
      <c r="CP13">
        <v>915.79600000000005</v>
      </c>
      <c r="CQ13">
        <v>4.4999999999999998E-2</v>
      </c>
      <c r="CR13" s="14">
        <f t="shared" si="17"/>
        <v>0.29676373482887003</v>
      </c>
      <c r="CS13" s="41">
        <f t="shared" si="48"/>
        <v>28.959194457027536</v>
      </c>
      <c r="CT13" s="21">
        <v>44477.634722222225</v>
      </c>
      <c r="CU13" s="21">
        <v>44483.493055555555</v>
      </c>
      <c r="CV13" s="9">
        <f t="shared" si="18"/>
        <v>5.8583333333299379</v>
      </c>
      <c r="CW13" s="9">
        <v>277.06033333333329</v>
      </c>
      <c r="CX13">
        <v>1103.6479999999999</v>
      </c>
      <c r="CY13">
        <v>0.06</v>
      </c>
      <c r="CZ13" s="14">
        <f t="shared" si="19"/>
        <v>0.24767451665918228</v>
      </c>
      <c r="DA13" s="41">
        <f t="shared" si="49"/>
        <v>34.823037042260843</v>
      </c>
      <c r="DB13" s="21">
        <v>44483.569444444445</v>
      </c>
      <c r="DC13" s="21">
        <v>44491.533333333333</v>
      </c>
      <c r="DD13" s="9">
        <f t="shared" si="50"/>
        <v>7.9638888888875954</v>
      </c>
      <c r="DE13" s="9">
        <v>277.24849999999998</v>
      </c>
      <c r="DF13">
        <v>1693.4860000000001</v>
      </c>
      <c r="DG13">
        <v>0.11600000000000001</v>
      </c>
      <c r="DH13" s="14">
        <f t="shared" si="20"/>
        <v>0.2793742587848756</v>
      </c>
      <c r="DI13" s="41">
        <f t="shared" si="51"/>
        <v>53.39773332907388</v>
      </c>
      <c r="DJ13" s="21">
        <v>44491.589583333334</v>
      </c>
      <c r="DK13" s="21">
        <v>44498.589583333334</v>
      </c>
      <c r="DL13" s="9">
        <f t="shared" si="21"/>
        <v>7</v>
      </c>
      <c r="DM13" s="9">
        <v>276.97687499999995</v>
      </c>
      <c r="DN13">
        <v>1479.6849999999999</v>
      </c>
      <c r="DO13">
        <v>6.8000000000000005E-2</v>
      </c>
      <c r="DP13" s="14">
        <f t="shared" si="22"/>
        <v>0.27798854159522812</v>
      </c>
      <c r="DQ13" s="41">
        <f t="shared" si="52"/>
        <v>46.702074987998323</v>
      </c>
      <c r="DR13" s="21">
        <v>44498.637499999997</v>
      </c>
      <c r="DS13" s="21">
        <v>44505.532638888886</v>
      </c>
      <c r="DT13" s="9">
        <f t="shared" si="53"/>
        <v>6.8951388888890506</v>
      </c>
      <c r="DU13" s="9">
        <v>276.60066666666665</v>
      </c>
      <c r="DV13">
        <v>1860.4359999999999</v>
      </c>
      <c r="DW13">
        <v>9.9000000000000005E-2</v>
      </c>
      <c r="DX13" s="14">
        <f t="shared" si="23"/>
        <v>0.35531837595030108</v>
      </c>
      <c r="DY13" s="41">
        <f t="shared" si="54"/>
        <v>58.799269246843707</v>
      </c>
      <c r="DZ13" s="21">
        <v>44505.579861111109</v>
      </c>
      <c r="EA13" s="21">
        <v>44512.594444444447</v>
      </c>
      <c r="EB13" s="9">
        <f t="shared" si="24"/>
        <v>7.0145833333372138</v>
      </c>
      <c r="EC13" s="9">
        <v>277.08091666666667</v>
      </c>
      <c r="ED13">
        <v>1722.338</v>
      </c>
      <c r="EE13">
        <v>6.6000000000000003E-2</v>
      </c>
      <c r="EF13" s="14">
        <f t="shared" si="25"/>
        <v>0.32278181825233354</v>
      </c>
      <c r="EG13" s="41">
        <f t="shared" si="55"/>
        <v>54.340319102810412</v>
      </c>
      <c r="EH13" s="21">
        <v>44512.625694444447</v>
      </c>
      <c r="EI13" s="21">
        <v>44521.640972222223</v>
      </c>
      <c r="EJ13" s="9">
        <f t="shared" si="56"/>
        <v>9.015277777776646</v>
      </c>
      <c r="EK13" s="9">
        <v>276.87229166666663</v>
      </c>
      <c r="EL13">
        <v>2361.7240000000002</v>
      </c>
      <c r="EM13">
        <v>9.1999999999999998E-2</v>
      </c>
      <c r="EN13" s="14">
        <f t="shared" si="26"/>
        <v>0.34464319660067833</v>
      </c>
      <c r="EO13" s="41">
        <f t="shared" si="57"/>
        <v>74.569299637824074</v>
      </c>
      <c r="EP13" s="21">
        <v>44521.722222222219</v>
      </c>
      <c r="EQ13" s="21">
        <v>44530.533333333333</v>
      </c>
      <c r="ER13" s="9">
        <f t="shared" si="27"/>
        <v>8.8111111111138598</v>
      </c>
      <c r="ES13" s="9">
        <v>276.64249999999998</v>
      </c>
      <c r="ET13">
        <v>1968.65</v>
      </c>
      <c r="EU13">
        <v>7.9000000000000001E-2</v>
      </c>
      <c r="EV13" s="14">
        <f t="shared" si="28"/>
        <v>0.29418336244399423</v>
      </c>
      <c r="EW13" s="41">
        <f t="shared" si="58"/>
        <v>62.209975044842722</v>
      </c>
      <c r="EX13" s="21">
        <v>44530.611805555556</v>
      </c>
      <c r="EY13" s="21">
        <v>44539.573611111111</v>
      </c>
      <c r="EZ13" s="9">
        <f t="shared" si="29"/>
        <v>8.9618055555547471</v>
      </c>
      <c r="FA13" s="9">
        <v>276.01466666666664</v>
      </c>
      <c r="FB13">
        <v>2140.1779999999999</v>
      </c>
      <c r="FC13">
        <v>0.106</v>
      </c>
      <c r="FD13" s="14">
        <f t="shared" si="30"/>
        <v>0.31515296225916711</v>
      </c>
      <c r="FE13" s="41">
        <f t="shared" si="59"/>
        <v>67.784149632569751</v>
      </c>
      <c r="FF13" s="21">
        <v>44539.627083333333</v>
      </c>
      <c r="FG13" s="21">
        <v>44543.500694444447</v>
      </c>
      <c r="FH13" s="9">
        <f t="shared" si="60"/>
        <v>3.8736111111138598</v>
      </c>
      <c r="FI13" s="9">
        <v>276.78899999999999</v>
      </c>
      <c r="FJ13">
        <v>996.279</v>
      </c>
      <c r="FK13">
        <v>3.9E-2</v>
      </c>
      <c r="FL13" s="14">
        <f t="shared" si="31"/>
        <v>0.33846620080188222</v>
      </c>
      <c r="FM13" s="36">
        <f t="shared" si="61"/>
        <v>31.466074467903979</v>
      </c>
      <c r="FS13" s="7"/>
      <c r="FT13" s="7"/>
      <c r="FU13" s="9"/>
      <c r="FX13" s="14"/>
      <c r="GE13" s="7"/>
      <c r="GF13" s="7"/>
      <c r="GG13" s="9"/>
      <c r="GJ13" s="14"/>
      <c r="GK13" s="7"/>
      <c r="GL13" s="7"/>
      <c r="GM13" s="9"/>
      <c r="GP13" s="14"/>
      <c r="GQ13" s="7"/>
      <c r="GR13" s="7"/>
      <c r="GS13" s="9"/>
      <c r="GV13" s="14"/>
      <c r="GW13" s="7"/>
      <c r="GX13" s="7"/>
      <c r="GY13" s="9"/>
      <c r="HB13" s="14"/>
      <c r="HC13" s="7"/>
      <c r="HD13" s="7"/>
      <c r="HE13" s="9"/>
      <c r="HH13" s="14"/>
      <c r="HI13" s="7"/>
      <c r="HJ13" s="7"/>
      <c r="HK13" s="9"/>
      <c r="HN13" s="14"/>
      <c r="HO13" s="7"/>
      <c r="HP13" s="7"/>
      <c r="HQ13" s="9"/>
      <c r="HT13" s="14"/>
      <c r="HU13" s="7"/>
      <c r="HV13" s="7"/>
      <c r="HW13" s="9"/>
      <c r="HZ13" s="14"/>
      <c r="IG13" s="7"/>
      <c r="IH13" s="7"/>
      <c r="II13" s="9"/>
      <c r="IL13" s="14"/>
    </row>
    <row r="14" spans="1:246" ht="19" x14ac:dyDescent="0.25">
      <c r="A14" s="29" t="s">
        <v>31</v>
      </c>
      <c r="B14">
        <v>473.17599999999999</v>
      </c>
      <c r="C14">
        <f>Vol_soil_calc!L13</f>
        <v>32.221324990421913</v>
      </c>
      <c r="D14" s="28">
        <v>8.2057366080959995E-2</v>
      </c>
      <c r="E14">
        <v>275.14999999999998</v>
      </c>
      <c r="F14">
        <f t="shared" si="0"/>
        <v>0.44095467500957808</v>
      </c>
      <c r="G14">
        <v>4.0239999999999991</v>
      </c>
      <c r="H14">
        <v>35.268999999999998</v>
      </c>
      <c r="I14" s="9">
        <f t="shared" si="1"/>
        <v>7.0201035031847141</v>
      </c>
      <c r="J14" s="6">
        <v>44447.815972222219</v>
      </c>
      <c r="K14" s="7">
        <v>44447.895833333336</v>
      </c>
      <c r="L14" s="9">
        <f t="shared" si="32"/>
        <v>7.9861111116770189E-2</v>
      </c>
      <c r="M14" s="9">
        <v>275.14999999999998</v>
      </c>
      <c r="N14" s="29">
        <v>144.10499999999999</v>
      </c>
      <c r="O14" s="29">
        <v>0.51300000000000001</v>
      </c>
      <c r="P14" s="14">
        <f t="shared" si="2"/>
        <v>2.5100192489418673</v>
      </c>
      <c r="Q14" s="41">
        <f t="shared" si="33"/>
        <v>4.8108702274794846</v>
      </c>
      <c r="R14" s="6"/>
      <c r="S14" s="30">
        <v>0.68472222222222223</v>
      </c>
      <c r="T14" s="9">
        <f t="shared" si="3"/>
        <v>0.68472222222222223</v>
      </c>
      <c r="U14" s="9">
        <v>275.14999999999998</v>
      </c>
      <c r="V14">
        <v>771.14300000000003</v>
      </c>
      <c r="W14">
        <v>1.7390000000000001</v>
      </c>
      <c r="X14" s="14">
        <f t="shared" si="4"/>
        <v>1.5665845833885124</v>
      </c>
      <c r="Y14" s="36">
        <f t="shared" si="34"/>
        <v>25.744206653684554</v>
      </c>
      <c r="Z14" s="6">
        <v>44448.698611111111</v>
      </c>
      <c r="AA14" s="7">
        <v>44449.601388888892</v>
      </c>
      <c r="AB14" s="9">
        <f t="shared" si="35"/>
        <v>0.90277777778101154</v>
      </c>
      <c r="AC14">
        <v>278.97624999999999</v>
      </c>
      <c r="AD14">
        <v>843.81100000000004</v>
      </c>
      <c r="AE14">
        <v>0.44500000000000001</v>
      </c>
      <c r="AF14" s="14">
        <f t="shared" si="5"/>
        <v>1.2823304583324799</v>
      </c>
      <c r="AG14" s="41">
        <f t="shared" si="36"/>
        <v>27.783826597303253</v>
      </c>
      <c r="AH14" s="7">
        <v>44449.633333333331</v>
      </c>
      <c r="AI14" s="21">
        <v>44451.710416666669</v>
      </c>
      <c r="AJ14" s="9">
        <f t="shared" si="6"/>
        <v>2.0770833333372138</v>
      </c>
      <c r="AK14" s="9">
        <v>275.30391666666662</v>
      </c>
      <c r="AL14">
        <v>833.84100000000001</v>
      </c>
      <c r="AM14">
        <v>5.6000000000000001E-2</v>
      </c>
      <c r="AN14" s="14">
        <f t="shared" si="7"/>
        <v>0.55810999774297398</v>
      </c>
      <c r="AO14" s="41">
        <f t="shared" si="37"/>
        <v>27.821783387539234</v>
      </c>
      <c r="AP14" s="21">
        <v>44451.777777777781</v>
      </c>
      <c r="AQ14" s="21">
        <v>44453.650694444441</v>
      </c>
      <c r="AR14" s="9">
        <f t="shared" si="38"/>
        <v>1.8729166666598758</v>
      </c>
      <c r="AS14" s="9">
        <v>275.34574999999995</v>
      </c>
      <c r="AT14">
        <v>1154.008</v>
      </c>
      <c r="AU14">
        <v>0.28999999999999998</v>
      </c>
      <c r="AV14" s="14">
        <f t="shared" si="8"/>
        <v>0.85647532482345279</v>
      </c>
      <c r="AW14" s="41">
        <f t="shared" si="39"/>
        <v>38.498565850674609</v>
      </c>
      <c r="AX14" s="21">
        <v>44453.792361111111</v>
      </c>
      <c r="AY14" s="21">
        <v>44456.55</v>
      </c>
      <c r="AZ14" s="9">
        <f t="shared" si="9"/>
        <v>2.757638888891961</v>
      </c>
      <c r="BA14" s="9">
        <v>275.28258333333332</v>
      </c>
      <c r="BB14">
        <v>1597.8920000000001</v>
      </c>
      <c r="BC14">
        <v>4.4999999999999998E-2</v>
      </c>
      <c r="BD14" s="14">
        <f t="shared" si="10"/>
        <v>0.80562727292423764</v>
      </c>
      <c r="BE14" s="41">
        <f t="shared" si="40"/>
        <v>53.319098346428525</v>
      </c>
      <c r="BF14" s="21">
        <v>44456.599305555559</v>
      </c>
      <c r="BG14" s="21">
        <v>44459.609722222223</v>
      </c>
      <c r="BH14" s="9">
        <f t="shared" si="41"/>
        <v>3.0104166666642413</v>
      </c>
      <c r="BI14" s="9">
        <v>274.02612499999998</v>
      </c>
      <c r="BJ14">
        <v>495.96300000000002</v>
      </c>
      <c r="BK14">
        <v>0.03</v>
      </c>
      <c r="BL14" s="14">
        <f t="shared" si="11"/>
        <v>0.23010897977307698</v>
      </c>
      <c r="BM14" s="41">
        <f t="shared" si="42"/>
        <v>16.625373788591418</v>
      </c>
      <c r="BN14" s="21">
        <v>44459.659722222219</v>
      </c>
      <c r="BO14" s="21">
        <v>44461.484027777777</v>
      </c>
      <c r="BP14" s="9">
        <f t="shared" si="12"/>
        <v>1.8243055555576575</v>
      </c>
      <c r="BQ14" s="9">
        <v>276.14041666666662</v>
      </c>
      <c r="BR14">
        <v>515.851</v>
      </c>
      <c r="BS14">
        <v>3.4000000000000002E-2</v>
      </c>
      <c r="BT14" s="14">
        <f t="shared" si="13"/>
        <v>0.39192195062982138</v>
      </c>
      <c r="BU14" s="41">
        <f t="shared" si="43"/>
        <v>17.15964940509545</v>
      </c>
      <c r="BV14" s="21">
        <v>44461.51458333333</v>
      </c>
      <c r="BW14" s="21">
        <v>44466.505555555559</v>
      </c>
      <c r="BX14" s="9">
        <f t="shared" si="44"/>
        <v>4.9909722222291748</v>
      </c>
      <c r="BY14" s="9">
        <v>276.28674999999998</v>
      </c>
      <c r="BZ14">
        <v>1107.7950000000001</v>
      </c>
      <c r="CA14">
        <v>5.8000000000000003E-2</v>
      </c>
      <c r="CB14" s="14">
        <f t="shared" si="14"/>
        <v>0.30748013127472795</v>
      </c>
      <c r="CC14" s="41">
        <f t="shared" si="45"/>
        <v>36.830995057909135</v>
      </c>
      <c r="CD14" s="21">
        <v>44466.566666666666</v>
      </c>
      <c r="CE14" s="21">
        <v>44473.548611111109</v>
      </c>
      <c r="CF14" s="9">
        <f t="shared" si="15"/>
        <v>6.9819444444437977</v>
      </c>
      <c r="CG14" s="9">
        <v>276.3075833333333</v>
      </c>
      <c r="CH14">
        <v>1534.01</v>
      </c>
      <c r="CI14">
        <v>8.3000000000000004E-2</v>
      </c>
      <c r="CJ14" s="14">
        <f t="shared" si="16"/>
        <v>0.304341982449367</v>
      </c>
      <c r="CK14" s="41">
        <f t="shared" si="46"/>
        <v>50.997571525760868</v>
      </c>
      <c r="CL14" s="21">
        <v>44473.559027777781</v>
      </c>
      <c r="CM14" s="21">
        <v>44477.570833333331</v>
      </c>
      <c r="CN14" s="9">
        <f t="shared" si="47"/>
        <v>4.0118055555503815</v>
      </c>
      <c r="CO14" s="9">
        <v>276.45387499999998</v>
      </c>
      <c r="CP14">
        <v>1073.797</v>
      </c>
      <c r="CQ14">
        <v>5.8999999999999997E-2</v>
      </c>
      <c r="CR14" s="14">
        <f t="shared" si="17"/>
        <v>0.37056337810124984</v>
      </c>
      <c r="CS14" s="41">
        <f t="shared" si="48"/>
        <v>35.679077254802657</v>
      </c>
      <c r="CT14" s="21">
        <v>44477.634722222225</v>
      </c>
      <c r="CU14" s="21">
        <v>44483.499305555553</v>
      </c>
      <c r="CV14" s="9">
        <f t="shared" si="18"/>
        <v>5.8645833333284827</v>
      </c>
      <c r="CW14" s="9">
        <v>277.06033333333329</v>
      </c>
      <c r="CX14">
        <v>1514.9390000000001</v>
      </c>
      <c r="CY14">
        <v>0.125</v>
      </c>
      <c r="CZ14" s="14">
        <f t="shared" si="19"/>
        <v>0.35685065607578398</v>
      </c>
      <c r="DA14" s="41">
        <f t="shared" si="49"/>
        <v>50.226729842625048</v>
      </c>
      <c r="DB14" s="21">
        <v>44483.569444444445</v>
      </c>
      <c r="DC14" s="21">
        <v>44491.536805555559</v>
      </c>
      <c r="DD14" s="9">
        <f t="shared" si="50"/>
        <v>7.9673611111138598</v>
      </c>
      <c r="DE14" s="9">
        <v>277.24849999999998</v>
      </c>
      <c r="DF14">
        <v>1692.7860000000001</v>
      </c>
      <c r="DG14">
        <v>0.10100000000000001</v>
      </c>
      <c r="DH14" s="14">
        <f t="shared" si="20"/>
        <v>0.29330618400146785</v>
      </c>
      <c r="DI14" s="41">
        <f t="shared" si="51"/>
        <v>56.085030817500027</v>
      </c>
      <c r="DJ14" s="21">
        <v>44491.589583333334</v>
      </c>
      <c r="DK14" s="21">
        <v>44498.593055555553</v>
      </c>
      <c r="DL14" s="9">
        <f t="shared" si="21"/>
        <v>7.0034722222189885</v>
      </c>
      <c r="DM14" s="9">
        <v>276.97687499999995</v>
      </c>
      <c r="DN14">
        <v>2051.442</v>
      </c>
      <c r="DO14">
        <v>0.14599999999999999</v>
      </c>
      <c r="DP14" s="14">
        <f t="shared" si="22"/>
        <v>0.40476708485833879</v>
      </c>
      <c r="DQ14" s="41">
        <f t="shared" si="52"/>
        <v>68.034600846574364</v>
      </c>
      <c r="DR14" s="21">
        <v>44498.637499999997</v>
      </c>
      <c r="DS14" s="21">
        <v>44505.548611111109</v>
      </c>
      <c r="DT14" s="9">
        <f t="shared" si="53"/>
        <v>6.9111111111124046</v>
      </c>
      <c r="DU14" s="9">
        <v>276.60066666666665</v>
      </c>
      <c r="DV14">
        <v>1851.261</v>
      </c>
      <c r="DW14">
        <v>8.2000000000000003E-2</v>
      </c>
      <c r="DX14" s="14">
        <f t="shared" si="23"/>
        <v>0.37065462365561985</v>
      </c>
      <c r="DY14" s="41">
        <f t="shared" si="54"/>
        <v>61.479246910356977</v>
      </c>
      <c r="DZ14" s="21">
        <v>44505.579861111109</v>
      </c>
      <c r="EA14" s="21">
        <v>44512.590277777781</v>
      </c>
      <c r="EB14" s="9">
        <f t="shared" si="24"/>
        <v>7.0104166666715173</v>
      </c>
      <c r="EC14" s="9">
        <v>277.08091666666667</v>
      </c>
      <c r="ED14">
        <v>1861.895</v>
      </c>
      <c r="EE14">
        <v>6.7000000000000004E-2</v>
      </c>
      <c r="EF14" s="14">
        <f t="shared" si="25"/>
        <v>0.36686611985692458</v>
      </c>
      <c r="EG14" s="41">
        <f t="shared" si="55"/>
        <v>61.725224665970273</v>
      </c>
      <c r="EH14" s="21">
        <v>44512.625694444447</v>
      </c>
      <c r="EI14" s="21">
        <v>44521.656944444447</v>
      </c>
      <c r="EJ14" s="9">
        <f t="shared" si="56"/>
        <v>9.03125</v>
      </c>
      <c r="EK14" s="9">
        <v>276.87229166666663</v>
      </c>
      <c r="EL14">
        <v>2284.9520000000002</v>
      </c>
      <c r="EM14">
        <v>8.3000000000000004E-2</v>
      </c>
      <c r="EN14" s="14">
        <f t="shared" si="26"/>
        <v>0.34974586547638087</v>
      </c>
      <c r="EO14" s="41">
        <f t="shared" si="57"/>
        <v>75.807416342005553</v>
      </c>
      <c r="EP14" s="21">
        <v>44521.722222222219</v>
      </c>
      <c r="EQ14" s="21">
        <v>44530.543749999997</v>
      </c>
      <c r="ER14" s="9">
        <f t="shared" si="27"/>
        <v>8.8215277777781012</v>
      </c>
      <c r="ES14" s="9">
        <v>276.64249999999998</v>
      </c>
      <c r="ET14">
        <v>2432.7579999999998</v>
      </c>
      <c r="EU14">
        <v>8.6999999999999994E-2</v>
      </c>
      <c r="EV14" s="14">
        <f t="shared" si="28"/>
        <v>0.38153911716448835</v>
      </c>
      <c r="EW14" s="41">
        <f t="shared" si="58"/>
        <v>80.778190089011218</v>
      </c>
      <c r="EX14" s="21">
        <v>44530.611805555556</v>
      </c>
      <c r="EY14" s="21">
        <v>44539.602777777778</v>
      </c>
      <c r="EZ14" s="9">
        <f t="shared" si="29"/>
        <v>8.9909722222218988</v>
      </c>
      <c r="FA14" s="9">
        <v>276.01466666666664</v>
      </c>
      <c r="FB14">
        <v>2401.232</v>
      </c>
      <c r="FC14">
        <v>7.6999999999999999E-2</v>
      </c>
      <c r="FD14" s="14">
        <f t="shared" si="30"/>
        <v>0.3703379125090559</v>
      </c>
      <c r="FE14" s="41">
        <f t="shared" si="59"/>
        <v>79.912749220909575</v>
      </c>
      <c r="FF14" s="21">
        <v>44539.627083333333</v>
      </c>
      <c r="FG14" s="21">
        <v>44543.511805555558</v>
      </c>
      <c r="FH14" s="9">
        <f t="shared" si="60"/>
        <v>3.8847222222248092</v>
      </c>
      <c r="FI14" s="9">
        <v>276.78899999999999</v>
      </c>
      <c r="FJ14">
        <v>1694.346</v>
      </c>
      <c r="FK14">
        <v>0.112</v>
      </c>
      <c r="FL14" s="14">
        <f t="shared" si="31"/>
        <v>0.60310950479191694</v>
      </c>
      <c r="FM14" s="36">
        <f t="shared" si="61"/>
        <v>56.229909496803828</v>
      </c>
      <c r="FS14" s="7"/>
      <c r="FT14" s="7"/>
      <c r="FU14" s="9"/>
      <c r="FX14" s="14"/>
      <c r="GE14" s="7"/>
      <c r="GF14" s="7"/>
      <c r="GG14" s="9"/>
      <c r="GJ14" s="14"/>
      <c r="GK14" s="7"/>
      <c r="GL14" s="7"/>
      <c r="GM14" s="9"/>
      <c r="GP14" s="14"/>
      <c r="GQ14" s="7"/>
      <c r="GR14" s="7"/>
      <c r="GS14" s="9"/>
      <c r="GV14" s="14"/>
      <c r="GW14" s="7"/>
      <c r="GX14" s="7"/>
      <c r="GY14" s="9"/>
      <c r="HB14" s="14"/>
      <c r="HC14" s="7"/>
      <c r="HD14" s="7"/>
      <c r="HE14" s="9"/>
      <c r="HH14" s="14"/>
      <c r="HI14" s="7"/>
      <c r="HJ14" s="7"/>
      <c r="HK14" s="9"/>
      <c r="HN14" s="14"/>
      <c r="HO14" s="7"/>
      <c r="HP14" s="7"/>
      <c r="HQ14" s="9"/>
      <c r="HT14" s="14"/>
      <c r="HU14" s="7"/>
      <c r="HV14" s="7"/>
      <c r="HW14" s="9"/>
      <c r="HZ14" s="14"/>
      <c r="IG14" s="7"/>
      <c r="IH14" s="7"/>
      <c r="II14" s="9"/>
      <c r="IL14" s="14"/>
    </row>
    <row r="15" spans="1:246" ht="19" x14ac:dyDescent="0.25">
      <c r="A15" s="29" t="s">
        <v>32</v>
      </c>
      <c r="B15">
        <v>473.17599999999999</v>
      </c>
      <c r="C15">
        <f>Vol_soil_calc!L14</f>
        <v>21.357737746277579</v>
      </c>
      <c r="D15" s="28">
        <v>8.2057366080959995E-2</v>
      </c>
      <c r="E15">
        <v>275.14999999999998</v>
      </c>
      <c r="F15">
        <f t="shared" si="0"/>
        <v>0.4518182622537224</v>
      </c>
      <c r="G15">
        <v>3.0100000000000007</v>
      </c>
      <c r="H15">
        <v>23.893000000000001</v>
      </c>
      <c r="I15" s="9">
        <f t="shared" si="1"/>
        <v>5.9583541147132157</v>
      </c>
      <c r="J15" s="6">
        <v>44447.912499999999</v>
      </c>
      <c r="K15" s="7">
        <v>44447.913194444445</v>
      </c>
      <c r="L15" s="9">
        <f>(K15-J15)</f>
        <v>6.944444467080757E-4</v>
      </c>
      <c r="M15" s="9">
        <v>275.14999999999998</v>
      </c>
      <c r="N15" s="29">
        <v>32.831000000000003</v>
      </c>
      <c r="O15" s="29">
        <v>5.3999999999999999E-2</v>
      </c>
      <c r="P15" s="14">
        <f t="shared" si="2"/>
        <v>79.390216584965685</v>
      </c>
      <c r="Q15" s="41">
        <f t="shared" si="33"/>
        <v>1.323170280729139</v>
      </c>
      <c r="R15" s="6"/>
      <c r="S15" s="30">
        <v>0.49236111111111108</v>
      </c>
      <c r="T15" s="9">
        <f t="shared" si="3"/>
        <v>0.49236111111111108</v>
      </c>
      <c r="U15" s="9">
        <v>275.14999999999998</v>
      </c>
      <c r="V15">
        <v>706.30100000000004</v>
      </c>
      <c r="W15">
        <v>0.71499999999999997</v>
      </c>
      <c r="X15" s="14">
        <f t="shared" si="4"/>
        <v>2.4089426621222576</v>
      </c>
      <c r="Y15" s="36">
        <f t="shared" si="34"/>
        <v>28.465672457411344</v>
      </c>
      <c r="Z15" s="7">
        <v>44448.589583333334</v>
      </c>
      <c r="AA15" s="7">
        <v>44449.638194444444</v>
      </c>
      <c r="AB15" s="9">
        <f t="shared" si="35"/>
        <v>1.0486111111094942</v>
      </c>
      <c r="AC15">
        <v>278.97624999999999</v>
      </c>
      <c r="AD15">
        <v>696.53399999999999</v>
      </c>
      <c r="AE15">
        <v>0.11310000000000001</v>
      </c>
      <c r="AF15" s="14">
        <f t="shared" si="5"/>
        <v>1.100146535029104</v>
      </c>
      <c r="AG15" s="41">
        <f t="shared" si="36"/>
        <v>27.687021131523096</v>
      </c>
      <c r="AH15" s="7">
        <v>44449.725694444445</v>
      </c>
      <c r="AI15" s="21">
        <v>44451.822916666664</v>
      </c>
      <c r="AJ15" s="9">
        <f t="shared" si="6"/>
        <v>2.0972222222189885</v>
      </c>
      <c r="AK15" s="9">
        <v>275.30391666666662</v>
      </c>
      <c r="AL15">
        <v>901.04200000000003</v>
      </c>
      <c r="AM15">
        <v>0.216</v>
      </c>
      <c r="AN15" s="14">
        <f t="shared" si="7"/>
        <v>0.72107111097116205</v>
      </c>
      <c r="AO15" s="41">
        <f t="shared" si="37"/>
        <v>36.293912585492528</v>
      </c>
      <c r="AP15" s="21">
        <v>44451.90347222222</v>
      </c>
      <c r="AQ15" s="21">
        <v>44453.65625</v>
      </c>
      <c r="AR15" s="9">
        <f t="shared" si="38"/>
        <v>1.7527777777795563</v>
      </c>
      <c r="AS15" s="9">
        <v>275.34574999999995</v>
      </c>
      <c r="AT15">
        <v>736.59400000000005</v>
      </c>
      <c r="AU15">
        <v>0.01</v>
      </c>
      <c r="AV15" s="14">
        <f t="shared" si="8"/>
        <v>0.70520087597888703</v>
      </c>
      <c r="AW15" s="41">
        <f t="shared" si="39"/>
        <v>29.665450182875283</v>
      </c>
      <c r="AX15" s="21">
        <v>44453.801388888889</v>
      </c>
      <c r="AY15" s="21">
        <v>44456.609027777777</v>
      </c>
      <c r="AZ15" s="9">
        <f t="shared" si="9"/>
        <v>2.8076388888875954</v>
      </c>
      <c r="BA15" s="9">
        <v>275.28258333333332</v>
      </c>
      <c r="BB15">
        <v>1602.56</v>
      </c>
      <c r="BC15">
        <v>0.183</v>
      </c>
      <c r="BD15" s="14">
        <f t="shared" si="10"/>
        <v>0.95804126650004973</v>
      </c>
      <c r="BE15" s="41">
        <f t="shared" si="40"/>
        <v>64.556014007631944</v>
      </c>
      <c r="BF15" s="21">
        <v>44456.654861111114</v>
      </c>
      <c r="BG15" s="21">
        <v>44459.688194444447</v>
      </c>
      <c r="BH15" s="9">
        <f t="shared" si="41"/>
        <v>3.0333333333328483</v>
      </c>
      <c r="BI15" s="9">
        <v>274.02612499999998</v>
      </c>
      <c r="BJ15">
        <v>538.745</v>
      </c>
      <c r="BK15">
        <v>0.11600000000000001</v>
      </c>
      <c r="BL15" s="14">
        <f t="shared" si="11"/>
        <v>0.29947532691675027</v>
      </c>
      <c r="BM15" s="41">
        <f t="shared" si="42"/>
        <v>21.801803799535936</v>
      </c>
      <c r="BN15" s="21">
        <v>44459.831250000003</v>
      </c>
      <c r="BO15" s="21">
        <v>44461.645833333336</v>
      </c>
      <c r="BP15" s="9">
        <f t="shared" si="12"/>
        <v>1.8145833333328483</v>
      </c>
      <c r="BQ15" s="9">
        <v>276.14041666666662</v>
      </c>
      <c r="BR15">
        <v>467.25400000000002</v>
      </c>
      <c r="BS15">
        <v>2.4E-2</v>
      </c>
      <c r="BT15" s="14">
        <f t="shared" si="13"/>
        <v>0.43085986056198106</v>
      </c>
      <c r="BU15" s="41">
        <f t="shared" si="43"/>
        <v>18.763946927469259</v>
      </c>
      <c r="BV15" s="21">
        <v>44461.679861111108</v>
      </c>
      <c r="BW15" s="21">
        <v>44466.602083333331</v>
      </c>
      <c r="BX15" s="9">
        <f t="shared" si="44"/>
        <v>4.922222222223354</v>
      </c>
      <c r="BY15" s="9">
        <v>276.28674999999998</v>
      </c>
      <c r="BZ15">
        <v>1315.3019999999999</v>
      </c>
      <c r="CA15">
        <v>5.7000000000000002E-2</v>
      </c>
      <c r="CB15" s="14">
        <f t="shared" si="14"/>
        <v>0.44688328212175138</v>
      </c>
      <c r="CC15" s="41">
        <f t="shared" si="45"/>
        <v>52.791811727995032</v>
      </c>
      <c r="CD15" s="21">
        <v>44466.62777777778</v>
      </c>
      <c r="CE15" s="21">
        <v>44473.552777777775</v>
      </c>
      <c r="CF15" s="9">
        <f t="shared" si="15"/>
        <v>6.9249999999956344</v>
      </c>
      <c r="CG15" s="9">
        <v>276.3075833333333</v>
      </c>
      <c r="CH15">
        <v>2056.4479999999999</v>
      </c>
      <c r="CI15">
        <v>4.3999999999999997E-2</v>
      </c>
      <c r="CJ15" s="14">
        <f t="shared" si="16"/>
        <v>0.49658666398052115</v>
      </c>
      <c r="CK15" s="41">
        <f t="shared" si="46"/>
        <v>82.532703553510586</v>
      </c>
      <c r="CL15" s="21">
        <v>44473.633333333331</v>
      </c>
      <c r="CM15" s="21">
        <v>44477.65347222222</v>
      </c>
      <c r="CN15" s="9">
        <f t="shared" si="47"/>
        <v>4.0201388888890506</v>
      </c>
      <c r="CO15" s="9">
        <v>276.45387499999998</v>
      </c>
      <c r="CP15">
        <v>454.51900000000001</v>
      </c>
      <c r="CQ15">
        <v>1.946</v>
      </c>
      <c r="CR15" s="14">
        <f t="shared" si="17"/>
        <v>0.18896362226736738</v>
      </c>
      <c r="CS15" s="41">
        <f t="shared" si="48"/>
        <v>18.231840155097228</v>
      </c>
      <c r="CT15" s="21">
        <v>44477.722222222219</v>
      </c>
      <c r="CU15" s="21">
        <v>44483.590277777781</v>
      </c>
      <c r="CV15" s="9">
        <f t="shared" si="18"/>
        <v>5.8680555555620231</v>
      </c>
      <c r="CW15" s="9">
        <v>277.06033333333329</v>
      </c>
      <c r="CX15">
        <v>3619.884</v>
      </c>
      <c r="CY15">
        <v>4.7E-2</v>
      </c>
      <c r="CZ15" s="14">
        <f t="shared" si="19"/>
        <v>1.028764540482054</v>
      </c>
      <c r="DA15" s="41">
        <f t="shared" si="49"/>
        <v>144.88433945138229</v>
      </c>
      <c r="DB15" s="21">
        <v>44483.71875</v>
      </c>
      <c r="DC15" s="21">
        <v>44491.604166666664</v>
      </c>
      <c r="DD15" s="9">
        <f t="shared" si="50"/>
        <v>7.8854166666642413</v>
      </c>
      <c r="DE15" s="9">
        <v>277.24849999999998</v>
      </c>
      <c r="DF15">
        <v>4015.3150000000001</v>
      </c>
      <c r="DG15">
        <v>4.9000000000000002E-2</v>
      </c>
      <c r="DH15" s="14">
        <f t="shared" si="20"/>
        <v>0.84862470688215463</v>
      </c>
      <c r="DI15" s="41">
        <f t="shared" si="51"/>
        <v>160.60222577739836</v>
      </c>
      <c r="DJ15" s="21">
        <v>44491.650694444441</v>
      </c>
      <c r="DK15" s="21">
        <v>44498.659722222219</v>
      </c>
      <c r="DL15" s="9">
        <f t="shared" si="21"/>
        <v>7.0090277777781012</v>
      </c>
      <c r="DM15" s="9">
        <v>276.97687499999995</v>
      </c>
      <c r="DN15">
        <v>2762.8069999999998</v>
      </c>
      <c r="DO15">
        <v>4.2000000000000003E-2</v>
      </c>
      <c r="DP15" s="14">
        <f t="shared" si="22"/>
        <v>0.65756570938485093</v>
      </c>
      <c r="DQ15" s="41">
        <f t="shared" si="52"/>
        <v>110.61351174702678</v>
      </c>
      <c r="DR15" s="21">
        <v>44498.686111111114</v>
      </c>
      <c r="DS15" s="21">
        <v>44505.600694444445</v>
      </c>
      <c r="DT15" s="9">
        <f t="shared" si="53"/>
        <v>6.9145833333313931</v>
      </c>
      <c r="DU15" s="9">
        <v>276.60066666666665</v>
      </c>
      <c r="DV15">
        <v>2614.6529999999998</v>
      </c>
      <c r="DW15">
        <v>6.6000000000000003E-2</v>
      </c>
      <c r="DX15" s="14">
        <f t="shared" si="23"/>
        <v>0.63166196179468781</v>
      </c>
      <c r="DY15" s="41">
        <f t="shared" si="54"/>
        <v>104.82430255979904</v>
      </c>
      <c r="DZ15" s="21">
        <v>44505.647222222222</v>
      </c>
      <c r="EA15" s="21">
        <v>44512.644444444442</v>
      </c>
      <c r="EB15" s="9">
        <f t="shared" si="24"/>
        <v>6.9972222222204437</v>
      </c>
      <c r="EC15" s="9">
        <v>277.08091666666667</v>
      </c>
      <c r="ED15">
        <v>1999.0160000000001</v>
      </c>
      <c r="EE15">
        <v>5.2999999999999999E-2</v>
      </c>
      <c r="EF15" s="14">
        <f t="shared" si="25"/>
        <v>0.47640234420703176</v>
      </c>
      <c r="EG15" s="41">
        <f t="shared" si="55"/>
        <v>80.003833670480532</v>
      </c>
      <c r="EH15" s="21">
        <v>44512.676388888889</v>
      </c>
      <c r="EI15" s="21">
        <v>44521.708333333336</v>
      </c>
      <c r="EJ15" s="9">
        <f t="shared" si="56"/>
        <v>9.0319444444467081</v>
      </c>
      <c r="EK15" s="9">
        <v>276.87229166666663</v>
      </c>
      <c r="EL15">
        <v>2797.4580000000001</v>
      </c>
      <c r="EM15">
        <v>0.10199999999999999</v>
      </c>
      <c r="EN15" s="14">
        <f t="shared" si="26"/>
        <v>0.51688356577542571</v>
      </c>
      <c r="EO15" s="41">
        <f t="shared" si="57"/>
        <v>112.04312760794785</v>
      </c>
      <c r="EP15" s="21">
        <v>44521.732638888891</v>
      </c>
      <c r="EQ15" s="21">
        <v>44530.62222222222</v>
      </c>
      <c r="ER15" s="9">
        <f t="shared" si="27"/>
        <v>8.8895833333299379</v>
      </c>
      <c r="ES15" s="9">
        <v>276.64249999999998</v>
      </c>
      <c r="ET15">
        <v>2568.0630000000001</v>
      </c>
      <c r="EU15">
        <v>4.9000000000000002E-2</v>
      </c>
      <c r="EV15" s="14">
        <f t="shared" si="28"/>
        <v>0.48249772466789553</v>
      </c>
      <c r="EW15" s="41">
        <f t="shared" si="58"/>
        <v>102.9408895578562</v>
      </c>
      <c r="EX15" s="21">
        <v>44530.72152777778</v>
      </c>
      <c r="EY15" s="21">
        <v>44539.654166666667</v>
      </c>
      <c r="EZ15" s="9">
        <f t="shared" si="29"/>
        <v>8.9326388888875954</v>
      </c>
      <c r="FA15" s="9">
        <v>276.01466666666664</v>
      </c>
      <c r="FB15">
        <v>3443.1149999999998</v>
      </c>
      <c r="FC15">
        <v>8.6999999999999994E-2</v>
      </c>
      <c r="FD15" s="14">
        <f t="shared" si="30"/>
        <v>0.64525219863196814</v>
      </c>
      <c r="FE15" s="41">
        <f t="shared" si="59"/>
        <v>138.33131718336341</v>
      </c>
      <c r="FF15" s="21">
        <v>44539.674305555556</v>
      </c>
      <c r="FG15" s="21">
        <v>44543.59097222222</v>
      </c>
      <c r="FH15" s="9">
        <f t="shared" si="60"/>
        <v>3.9166666666642413</v>
      </c>
      <c r="FI15" s="9">
        <v>276.78899999999999</v>
      </c>
      <c r="FJ15">
        <v>1426.2739999999999</v>
      </c>
      <c r="FK15">
        <v>5.2999999999999999E-2</v>
      </c>
      <c r="FL15" s="14">
        <f t="shared" si="31"/>
        <v>0.60789340107676115</v>
      </c>
      <c r="FM15" s="36">
        <f t="shared" si="61"/>
        <v>57.141979701180162</v>
      </c>
      <c r="FS15" s="12"/>
      <c r="FT15" s="7"/>
      <c r="FU15" s="9"/>
      <c r="FV15" s="1"/>
      <c r="FX15" s="14"/>
      <c r="GE15" s="7"/>
      <c r="GF15" s="7"/>
      <c r="GG15" s="9"/>
      <c r="GJ15" s="14"/>
      <c r="GK15" s="7"/>
      <c r="GL15" s="7"/>
      <c r="GM15" s="9"/>
      <c r="GP15" s="14"/>
      <c r="GQ15" s="12"/>
      <c r="GR15" s="7"/>
      <c r="GS15" s="9"/>
      <c r="GV15" s="14"/>
      <c r="GW15" s="7"/>
      <c r="GX15" s="7"/>
      <c r="GY15" s="9"/>
      <c r="HB15" s="14"/>
      <c r="HC15" s="7"/>
      <c r="HD15" s="7"/>
      <c r="HE15" s="9"/>
      <c r="HH15" s="14"/>
      <c r="HI15" s="7"/>
      <c r="HJ15" s="7"/>
      <c r="HK15" s="9"/>
      <c r="HN15" s="14"/>
      <c r="HO15" s="7"/>
      <c r="HP15" s="7"/>
      <c r="HQ15" s="9"/>
      <c r="HT15" s="14"/>
      <c r="HU15" s="7"/>
      <c r="HV15" s="7"/>
      <c r="HW15" s="9"/>
      <c r="HZ15" s="14"/>
      <c r="IG15" s="7"/>
      <c r="IH15" s="7"/>
      <c r="II15" s="9"/>
      <c r="IL15" s="14"/>
    </row>
    <row r="16" spans="1:246" ht="19" x14ac:dyDescent="0.25">
      <c r="A16" s="29" t="s">
        <v>33</v>
      </c>
      <c r="B16">
        <v>473.17599999999999</v>
      </c>
      <c r="C16">
        <f>Vol_soil_calc!L15</f>
        <v>19.682802443629516</v>
      </c>
      <c r="D16" s="28">
        <v>8.2057366080959995E-2</v>
      </c>
      <c r="E16">
        <v>275.14999999999998</v>
      </c>
      <c r="F16">
        <f t="shared" si="0"/>
        <v>0.45349319755637046</v>
      </c>
      <c r="G16">
        <v>3.0759999999999996</v>
      </c>
      <c r="H16">
        <v>21.977</v>
      </c>
      <c r="I16" s="9">
        <f t="shared" si="1"/>
        <v>5.3918056918547599</v>
      </c>
      <c r="J16" s="6">
        <v>44447.912499999999</v>
      </c>
      <c r="K16" s="7">
        <v>44447.918055555558</v>
      </c>
      <c r="L16" s="9">
        <f>(K16-J16)</f>
        <v>5.5555555591126904E-3</v>
      </c>
      <c r="M16" s="9">
        <v>275.14999999999998</v>
      </c>
      <c r="N16" s="29">
        <v>64.495999999999995</v>
      </c>
      <c r="O16" s="29">
        <v>8.5999999999999993E-2</v>
      </c>
      <c r="P16" s="14">
        <f t="shared" si="2"/>
        <v>21.623437946507678</v>
      </c>
      <c r="Q16" s="41">
        <f t="shared" si="33"/>
        <v>2.8831250613803769</v>
      </c>
      <c r="R16" s="6"/>
      <c r="S16" s="30">
        <v>0.49722222222222223</v>
      </c>
      <c r="T16" s="9">
        <f t="shared" si="3"/>
        <v>0.49722222222222223</v>
      </c>
      <c r="U16" s="9">
        <v>275.14999999999998</v>
      </c>
      <c r="V16">
        <v>771.92600000000004</v>
      </c>
      <c r="W16">
        <v>0.76100000000000001</v>
      </c>
      <c r="X16" s="14">
        <f t="shared" si="4"/>
        <v>2.891642489107344</v>
      </c>
      <c r="Y16" s="36">
        <f t="shared" si="34"/>
        <v>34.506933703347642</v>
      </c>
      <c r="Z16" s="7">
        <v>44448.589583333334</v>
      </c>
      <c r="AA16" s="7">
        <v>44449.670138888891</v>
      </c>
      <c r="AB16" s="9">
        <f t="shared" si="35"/>
        <v>1.0805555555562023</v>
      </c>
      <c r="AC16">
        <v>278.97624999999999</v>
      </c>
      <c r="AD16">
        <v>885.81</v>
      </c>
      <c r="AE16">
        <v>0.376</v>
      </c>
      <c r="AF16" s="14">
        <f t="shared" si="5"/>
        <v>1.5059661903201702</v>
      </c>
      <c r="AG16" s="41">
        <f t="shared" si="36"/>
        <v>39.054723202326457</v>
      </c>
      <c r="AH16" s="7">
        <v>44449.725694444445</v>
      </c>
      <c r="AI16" s="21">
        <v>44451.82916666667</v>
      </c>
      <c r="AJ16" s="9">
        <f t="shared" si="6"/>
        <v>2.1034722222248092</v>
      </c>
      <c r="AK16" s="9">
        <v>275.30391666666662</v>
      </c>
      <c r="AL16">
        <v>763.827</v>
      </c>
      <c r="AM16">
        <v>0.10299999999999999</v>
      </c>
      <c r="AN16" s="14">
        <f t="shared" si="7"/>
        <v>0.67598149993569245</v>
      </c>
      <c r="AO16" s="41">
        <f t="shared" si="37"/>
        <v>34.125799388462177</v>
      </c>
      <c r="AP16" s="21">
        <v>44451.90347222222</v>
      </c>
      <c r="AQ16" s="21">
        <v>44453.73333333333</v>
      </c>
      <c r="AR16" s="9">
        <f t="shared" si="38"/>
        <v>1.8298611111094942</v>
      </c>
      <c r="AS16" s="9">
        <v>275.34574999999995</v>
      </c>
      <c r="AT16">
        <v>813.76599999999996</v>
      </c>
      <c r="AU16">
        <v>0.01</v>
      </c>
      <c r="AV16" s="14">
        <f t="shared" si="8"/>
        <v>0.82773631926986269</v>
      </c>
      <c r="AW16" s="41">
        <f t="shared" si="39"/>
        <v>36.351420021236017</v>
      </c>
      <c r="AX16" s="21">
        <v>44453.801388888889</v>
      </c>
      <c r="AY16" s="21">
        <v>44456.62777777778</v>
      </c>
      <c r="AZ16" s="9">
        <f t="shared" si="9"/>
        <v>2.8263888888905058</v>
      </c>
      <c r="BA16" s="9">
        <v>275.28258333333332</v>
      </c>
      <c r="BB16">
        <v>1204.9369999999999</v>
      </c>
      <c r="BC16">
        <v>3.4000000000000002E-2</v>
      </c>
      <c r="BD16" s="14">
        <f t="shared" si="10"/>
        <v>0.79367493296190195</v>
      </c>
      <c r="BE16" s="41">
        <f t="shared" si="40"/>
        <v>53.837616285946481</v>
      </c>
      <c r="BF16" s="21">
        <v>44456.654861111114</v>
      </c>
      <c r="BG16" s="21">
        <v>44459.680555555555</v>
      </c>
      <c r="BH16" s="9">
        <f t="shared" si="41"/>
        <v>3.0256944444408873</v>
      </c>
      <c r="BI16" s="9">
        <v>274.02612499999998</v>
      </c>
      <c r="BJ16">
        <v>377.51499999999999</v>
      </c>
      <c r="BK16">
        <v>2.1999999999999999E-2</v>
      </c>
      <c r="BL16" s="14">
        <f t="shared" si="11"/>
        <v>0.23334911114433241</v>
      </c>
      <c r="BM16" s="41">
        <f t="shared" si="42"/>
        <v>16.945034620911017</v>
      </c>
      <c r="BN16" s="21">
        <v>44459.831250000003</v>
      </c>
      <c r="BO16" s="21">
        <v>44461.64166666667</v>
      </c>
      <c r="BP16" s="9">
        <f t="shared" si="12"/>
        <v>1.8104166666671517</v>
      </c>
      <c r="BQ16" s="9">
        <v>276.14041666666662</v>
      </c>
      <c r="BR16">
        <v>449.71</v>
      </c>
      <c r="BS16">
        <v>3.4000000000000002E-2</v>
      </c>
      <c r="BT16" s="14">
        <f t="shared" si="13"/>
        <v>0.46101282345451361</v>
      </c>
      <c r="BU16" s="41">
        <f t="shared" si="43"/>
        <v>20.031007179103984</v>
      </c>
      <c r="BV16" s="21">
        <v>44461.679861111108</v>
      </c>
      <c r="BW16" s="21">
        <v>44466.609722222223</v>
      </c>
      <c r="BX16" s="9">
        <f t="shared" si="44"/>
        <v>4.929861111115315</v>
      </c>
      <c r="BY16" s="9">
        <v>276.28674999999998</v>
      </c>
      <c r="BZ16">
        <v>1000.273</v>
      </c>
      <c r="CA16">
        <v>4.3999999999999997E-2</v>
      </c>
      <c r="CB16" s="14">
        <f t="shared" si="14"/>
        <v>0.37636807708918257</v>
      </c>
      <c r="CC16" s="41">
        <f t="shared" si="45"/>
        <v>44.530616320973095</v>
      </c>
      <c r="CD16" s="21">
        <v>44466.62777777778</v>
      </c>
      <c r="CE16" s="21">
        <v>44473.558333333334</v>
      </c>
      <c r="CF16" s="9">
        <f t="shared" si="15"/>
        <v>6.9305555555547471</v>
      </c>
      <c r="CG16" s="9">
        <v>276.3075833333333</v>
      </c>
      <c r="CH16">
        <v>2024.2550000000001</v>
      </c>
      <c r="CI16">
        <v>4.9000000000000002E-2</v>
      </c>
      <c r="CJ16" s="14">
        <f t="shared" si="16"/>
        <v>0.54174304304345444</v>
      </c>
      <c r="CK16" s="41">
        <f t="shared" si="46"/>
        <v>90.109926159550739</v>
      </c>
      <c r="CL16" s="21">
        <v>44473.633333333331</v>
      </c>
      <c r="CM16" s="21">
        <v>44477.65902777778</v>
      </c>
      <c r="CN16" s="9">
        <f t="shared" si="47"/>
        <v>4.0256944444481633</v>
      </c>
      <c r="CO16" s="9">
        <v>276.45387499999998</v>
      </c>
      <c r="CP16">
        <v>1649.673</v>
      </c>
      <c r="CQ16">
        <v>3.2000000000000001E-2</v>
      </c>
      <c r="CR16" s="14">
        <f t="shared" si="17"/>
        <v>0.75966715952739627</v>
      </c>
      <c r="CS16" s="41">
        <f t="shared" si="48"/>
        <v>73.396508729739736</v>
      </c>
      <c r="CT16" s="21">
        <v>44477.722222222219</v>
      </c>
      <c r="CU16" s="21">
        <v>44483.595833333333</v>
      </c>
      <c r="CV16" s="9">
        <f t="shared" si="18"/>
        <v>5.8736111111138598</v>
      </c>
      <c r="CW16" s="9">
        <v>277.06033333333329</v>
      </c>
      <c r="CX16">
        <v>3947.4879999999998</v>
      </c>
      <c r="CY16">
        <v>5.8999999999999997E-2</v>
      </c>
      <c r="CZ16" s="14">
        <f t="shared" si="19"/>
        <v>1.243169232668905</v>
      </c>
      <c r="DA16" s="41">
        <f t="shared" si="49"/>
        <v>175.2454228319753</v>
      </c>
      <c r="DB16" s="21">
        <v>44483.71875</v>
      </c>
      <c r="DC16" s="21">
        <v>44491.620833333334</v>
      </c>
      <c r="DD16" s="9">
        <f t="shared" si="50"/>
        <v>7.9020833333343035</v>
      </c>
      <c r="DE16" s="9">
        <v>277.24849999999998</v>
      </c>
      <c r="DF16">
        <v>4861.33</v>
      </c>
      <c r="DG16">
        <v>5.5E-2</v>
      </c>
      <c r="DH16" s="14">
        <f t="shared" si="20"/>
        <v>1.1371906191526215</v>
      </c>
      <c r="DI16" s="41">
        <f t="shared" si="51"/>
        <v>215.66820092232115</v>
      </c>
      <c r="DJ16" s="21">
        <v>44491.650694444441</v>
      </c>
      <c r="DK16" s="21">
        <v>44498.65625</v>
      </c>
      <c r="DL16" s="9">
        <f t="shared" si="21"/>
        <v>7.0055555555591127</v>
      </c>
      <c r="DM16" s="9">
        <v>276.97687499999995</v>
      </c>
      <c r="DN16">
        <v>3660.1930000000002</v>
      </c>
      <c r="DO16">
        <v>7.5999999999999998E-2</v>
      </c>
      <c r="DP16" s="14">
        <f t="shared" si="22"/>
        <v>0.9667337250164586</v>
      </c>
      <c r="DQ16" s="41">
        <f t="shared" si="52"/>
        <v>162.54016363284975</v>
      </c>
      <c r="DR16" s="21">
        <v>44498.686111111114</v>
      </c>
      <c r="DS16" s="21">
        <v>44505.634722222225</v>
      </c>
      <c r="DT16" s="9">
        <f t="shared" si="53"/>
        <v>6.9486111111109494</v>
      </c>
      <c r="DU16" s="9">
        <v>276.60066666666665</v>
      </c>
      <c r="DV16">
        <v>2504.8809999999999</v>
      </c>
      <c r="DW16">
        <v>6.0999999999999999E-2</v>
      </c>
      <c r="DX16" s="14">
        <f t="shared" si="23"/>
        <v>0.6679206111298911</v>
      </c>
      <c r="DY16" s="41">
        <f t="shared" si="54"/>
        <v>111.38689391609223</v>
      </c>
      <c r="DZ16" s="21">
        <v>44505.647222222222</v>
      </c>
      <c r="EA16" s="21">
        <v>44512.640277777777</v>
      </c>
      <c r="EB16" s="9">
        <f t="shared" si="24"/>
        <v>6.9930555555547471</v>
      </c>
      <c r="EC16" s="9">
        <v>277.08091666666667</v>
      </c>
      <c r="ED16">
        <v>2307.2550000000001</v>
      </c>
      <c r="EE16">
        <v>7.9000000000000001E-2</v>
      </c>
      <c r="EF16" s="14">
        <f t="shared" si="25"/>
        <v>0.61025448153077966</v>
      </c>
      <c r="EG16" s="41">
        <f t="shared" si="55"/>
        <v>102.42104381690402</v>
      </c>
      <c r="EH16" s="21">
        <v>44512.676388888889</v>
      </c>
      <c r="EI16" s="21">
        <v>44521.703472222223</v>
      </c>
      <c r="EJ16" s="9">
        <f t="shared" si="56"/>
        <v>9.0270833333343035</v>
      </c>
      <c r="EK16" s="9">
        <v>276.87229166666663</v>
      </c>
      <c r="EL16">
        <v>2577.817</v>
      </c>
      <c r="EM16">
        <v>6.6000000000000003E-2</v>
      </c>
      <c r="EN16" s="14">
        <f t="shared" si="26"/>
        <v>0.52858412063742977</v>
      </c>
      <c r="EO16" s="41">
        <f t="shared" si="57"/>
        <v>114.51774973611147</v>
      </c>
      <c r="EP16" s="21">
        <v>44521.732638888891</v>
      </c>
      <c r="EQ16" s="21">
        <v>44530.712500000001</v>
      </c>
      <c r="ER16" s="9">
        <f t="shared" si="27"/>
        <v>8.9798611111109494</v>
      </c>
      <c r="ES16" s="9">
        <v>276.64249999999998</v>
      </c>
      <c r="ET16">
        <v>4078.9140000000002</v>
      </c>
      <c r="EU16">
        <v>0.13800000000000001</v>
      </c>
      <c r="EV16" s="14">
        <f t="shared" si="28"/>
        <v>0.84148233677605833</v>
      </c>
      <c r="EW16" s="41">
        <f t="shared" si="58"/>
        <v>181.35346828085025</v>
      </c>
      <c r="EX16" s="21">
        <v>44530.72152777778</v>
      </c>
      <c r="EY16" s="21">
        <v>44539.620833333334</v>
      </c>
      <c r="EZ16" s="9">
        <f t="shared" si="29"/>
        <v>8.8993055555547471</v>
      </c>
      <c r="FA16" s="9">
        <v>276.01466666666664</v>
      </c>
      <c r="FB16">
        <v>2418.942</v>
      </c>
      <c r="FC16">
        <v>9.8000000000000004E-2</v>
      </c>
      <c r="FD16" s="14">
        <f t="shared" si="30"/>
        <v>0.5046916886088445</v>
      </c>
      <c r="FE16" s="41">
        <f t="shared" si="59"/>
        <v>107.7937331586959</v>
      </c>
      <c r="FF16" s="21">
        <v>44539.674305555556</v>
      </c>
      <c r="FG16" s="21">
        <v>44543.555555555555</v>
      </c>
      <c r="FH16" s="9">
        <f t="shared" si="60"/>
        <v>3.8812499999985448</v>
      </c>
      <c r="FI16" s="9">
        <v>276.78899999999999</v>
      </c>
      <c r="FJ16">
        <v>1508.317</v>
      </c>
      <c r="FK16">
        <v>8.5999999999999993E-2</v>
      </c>
      <c r="FL16" s="14">
        <f t="shared" si="31"/>
        <v>0.71955029838140117</v>
      </c>
      <c r="FM16" s="36">
        <f t="shared" si="61"/>
        <v>67.026110294202383</v>
      </c>
      <c r="FS16" s="12"/>
      <c r="FT16" s="7"/>
      <c r="FU16" s="9"/>
      <c r="FV16" s="1"/>
      <c r="FX16" s="14"/>
      <c r="GE16" s="7"/>
      <c r="GF16" s="7"/>
      <c r="GG16" s="9"/>
      <c r="GJ16" s="14"/>
      <c r="GK16" s="7"/>
      <c r="GL16" s="7"/>
      <c r="GM16" s="9"/>
      <c r="GP16" s="14"/>
      <c r="GQ16" s="12"/>
      <c r="GR16" s="7"/>
      <c r="GS16" s="9"/>
      <c r="GV16" s="14"/>
      <c r="GW16" s="7"/>
      <c r="GX16" s="7"/>
      <c r="GY16" s="9"/>
      <c r="GZ16" s="22"/>
      <c r="HB16" s="14"/>
      <c r="HC16" s="7"/>
      <c r="HD16" s="7"/>
      <c r="HE16" s="9"/>
      <c r="HH16" s="14"/>
      <c r="HI16" s="7"/>
      <c r="HJ16" s="7"/>
      <c r="HK16" s="9"/>
      <c r="HN16" s="14"/>
      <c r="HO16" s="7"/>
      <c r="HP16" s="7"/>
      <c r="HQ16" s="9"/>
      <c r="HT16" s="14"/>
      <c r="HU16" s="7"/>
      <c r="HV16" s="7"/>
      <c r="HW16" s="9"/>
      <c r="HZ16" s="14"/>
      <c r="IG16" s="7"/>
      <c r="IH16" s="7"/>
      <c r="II16" s="9"/>
      <c r="IL16" s="14"/>
    </row>
    <row r="17" spans="1:246" ht="19" x14ac:dyDescent="0.25">
      <c r="A17" s="29" t="s">
        <v>34</v>
      </c>
      <c r="B17">
        <v>473.17599999999999</v>
      </c>
      <c r="C17">
        <f>Vol_soil_calc!L16</f>
        <v>20.777193824670078</v>
      </c>
      <c r="D17" s="28">
        <v>8.2057366080959995E-2</v>
      </c>
      <c r="E17">
        <v>275.14999999999998</v>
      </c>
      <c r="F17">
        <f t="shared" si="0"/>
        <v>0.4523988061753299</v>
      </c>
      <c r="G17">
        <v>3.3050000000000006</v>
      </c>
      <c r="H17">
        <v>23.056000000000001</v>
      </c>
      <c r="I17" s="9">
        <f t="shared" si="1"/>
        <v>5.3556329849012769</v>
      </c>
      <c r="J17" s="6">
        <v>44447.912499999999</v>
      </c>
      <c r="K17" s="7">
        <v>44447.92291666667</v>
      </c>
      <c r="L17" s="9">
        <f>(K17-J17)</f>
        <v>1.0416666671517305E-2</v>
      </c>
      <c r="M17" s="9">
        <v>275.14999999999998</v>
      </c>
      <c r="N17" s="29">
        <v>175.602</v>
      </c>
      <c r="O17" s="29">
        <v>0.61</v>
      </c>
      <c r="P17" s="14">
        <f t="shared" si="2"/>
        <v>31.535102566144552</v>
      </c>
      <c r="Q17" s="41">
        <f t="shared" si="33"/>
        <v>7.8837756452073071</v>
      </c>
      <c r="R17" s="6"/>
      <c r="S17" s="30">
        <v>0.50069444444444444</v>
      </c>
      <c r="T17" s="9">
        <f t="shared" si="3"/>
        <v>0.50069444444444444</v>
      </c>
      <c r="U17" s="9">
        <v>275.14999999999998</v>
      </c>
      <c r="V17">
        <v>800.428</v>
      </c>
      <c r="W17">
        <v>1.409</v>
      </c>
      <c r="X17" s="14">
        <f t="shared" si="4"/>
        <v>2.9904948362891779</v>
      </c>
      <c r="Y17" s="36">
        <f t="shared" si="34"/>
        <v>35.935779616074953</v>
      </c>
      <c r="Z17" s="7">
        <v>44448.589583333334</v>
      </c>
      <c r="AA17" s="7">
        <v>44449.675000000003</v>
      </c>
      <c r="AB17" s="9">
        <f t="shared" si="35"/>
        <v>1.0854166666686069</v>
      </c>
      <c r="AC17">
        <v>278.97624999999999</v>
      </c>
      <c r="AD17">
        <v>693.42</v>
      </c>
      <c r="AE17">
        <v>0.81799999999999995</v>
      </c>
      <c r="AF17" s="14">
        <f t="shared" si="5"/>
        <v>1.1786794716710614</v>
      </c>
      <c r="AG17" s="41">
        <f t="shared" si="36"/>
        <v>30.704600237086034</v>
      </c>
      <c r="AH17" s="7">
        <v>44449.725694444445</v>
      </c>
      <c r="AI17" s="21">
        <v>44451.833333333336</v>
      </c>
      <c r="AJ17" s="9">
        <f t="shared" si="6"/>
        <v>2.1076388888905058</v>
      </c>
      <c r="AK17" s="9">
        <v>275.30391666666662</v>
      </c>
      <c r="AL17">
        <v>846.47699999999998</v>
      </c>
      <c r="AM17">
        <v>0.753</v>
      </c>
      <c r="AN17" s="14">
        <f t="shared" si="7"/>
        <v>0.75087845466944791</v>
      </c>
      <c r="AO17" s="41">
        <f t="shared" si="37"/>
        <v>37.981935165392045</v>
      </c>
      <c r="AP17" s="21">
        <v>44451.90347222222</v>
      </c>
      <c r="AQ17" s="21">
        <v>44453.740277777775</v>
      </c>
      <c r="AR17" s="9">
        <f t="shared" si="38"/>
        <v>1.8368055555547471</v>
      </c>
      <c r="AS17" s="9">
        <v>275.34574999999995</v>
      </c>
      <c r="AT17">
        <v>686.86800000000005</v>
      </c>
      <c r="AU17">
        <v>0.01</v>
      </c>
      <c r="AV17" s="14">
        <f t="shared" si="8"/>
        <v>0.69902836094268272</v>
      </c>
      <c r="AW17" s="41">
        <f t="shared" si="39"/>
        <v>30.815500244876368</v>
      </c>
      <c r="AX17" s="21">
        <v>44453.801388888889</v>
      </c>
      <c r="AY17" s="21">
        <v>44456.619444444441</v>
      </c>
      <c r="AZ17" s="9">
        <f t="shared" si="9"/>
        <v>2.8180555555518367</v>
      </c>
      <c r="BA17" s="9">
        <v>275.28258333333332</v>
      </c>
      <c r="BB17">
        <v>1484.35</v>
      </c>
      <c r="BC17">
        <v>0.875</v>
      </c>
      <c r="BD17" s="14">
        <f t="shared" si="10"/>
        <v>0.9848523039733329</v>
      </c>
      <c r="BE17" s="41">
        <f t="shared" si="40"/>
        <v>66.608844158641844</v>
      </c>
      <c r="BF17" s="21">
        <v>44456.654861111114</v>
      </c>
      <c r="BG17" s="21">
        <v>44459.675694444442</v>
      </c>
      <c r="BH17" s="9">
        <f t="shared" si="41"/>
        <v>3.0208333333284827</v>
      </c>
      <c r="BI17" s="9">
        <v>274.02612499999998</v>
      </c>
      <c r="BJ17">
        <v>493.13099999999997</v>
      </c>
      <c r="BK17">
        <v>1.623</v>
      </c>
      <c r="BL17" s="14">
        <f t="shared" si="11"/>
        <v>0.30662435289041506</v>
      </c>
      <c r="BM17" s="41">
        <f t="shared" si="42"/>
        <v>22.230265584519394</v>
      </c>
      <c r="BN17" s="21">
        <v>44459.831250000003</v>
      </c>
      <c r="BO17" s="21">
        <v>44461.65902777778</v>
      </c>
      <c r="BP17" s="9">
        <f t="shared" si="12"/>
        <v>1.827777777776646</v>
      </c>
      <c r="BQ17" s="9">
        <v>276.14041666666662</v>
      </c>
      <c r="BR17">
        <v>509.60700000000003</v>
      </c>
      <c r="BS17">
        <v>0.57399999999999995</v>
      </c>
      <c r="BT17" s="14">
        <f t="shared" si="13"/>
        <v>0.51969087391301216</v>
      </c>
      <c r="BU17" s="41">
        <f t="shared" si="43"/>
        <v>22.797106335636684</v>
      </c>
      <c r="BV17" s="21">
        <v>44461.679861111108</v>
      </c>
      <c r="BW17" s="21">
        <v>44466.613888888889</v>
      </c>
      <c r="BX17" s="9">
        <f t="shared" si="44"/>
        <v>4.9340277777810115</v>
      </c>
      <c r="BY17" s="9">
        <v>276.28674999999998</v>
      </c>
      <c r="BZ17">
        <v>977.49800000000005</v>
      </c>
      <c r="CA17">
        <v>1.0660000000000001</v>
      </c>
      <c r="CB17" s="14">
        <f t="shared" si="14"/>
        <v>0.36907727357319237</v>
      </c>
      <c r="CC17" s="41">
        <f t="shared" si="45"/>
        <v>43.704900478987511</v>
      </c>
      <c r="CD17" s="21">
        <v>44466.62777777778</v>
      </c>
      <c r="CE17" s="21">
        <v>44473.578472222223</v>
      </c>
      <c r="CF17" s="9">
        <f t="shared" si="15"/>
        <v>6.9506944444437977</v>
      </c>
      <c r="CG17" s="9">
        <v>276.3075833333333</v>
      </c>
      <c r="CH17">
        <v>1576.037</v>
      </c>
      <c r="CI17">
        <v>1.264</v>
      </c>
      <c r="CJ17" s="14">
        <f t="shared" si="16"/>
        <v>0.42238499496509785</v>
      </c>
      <c r="CK17" s="41">
        <f t="shared" si="46"/>
        <v>70.460856910087855</v>
      </c>
      <c r="CL17" s="21">
        <v>44473.633333333331</v>
      </c>
      <c r="CM17" s="21">
        <v>44477.667361111111</v>
      </c>
      <c r="CN17" s="9">
        <f t="shared" si="47"/>
        <v>4.0340277777795563</v>
      </c>
      <c r="CO17" s="9">
        <v>276.45387499999998</v>
      </c>
      <c r="CP17">
        <v>1128.1780000000001</v>
      </c>
      <c r="CQ17">
        <v>1.2370000000000001</v>
      </c>
      <c r="CR17" s="14">
        <f t="shared" si="17"/>
        <v>0.52068987724304405</v>
      </c>
      <c r="CS17" s="41">
        <f t="shared" si="48"/>
        <v>50.411458281769605</v>
      </c>
      <c r="CT17" s="21">
        <v>44477.722222222219</v>
      </c>
      <c r="CU17" s="21">
        <v>44483.686805555553</v>
      </c>
      <c r="CV17" s="9">
        <f t="shared" si="18"/>
        <v>5.9645833333343035</v>
      </c>
      <c r="CW17" s="9">
        <v>277.06033333333329</v>
      </c>
      <c r="CX17">
        <v>2223.2860000000001</v>
      </c>
      <c r="CY17">
        <v>1.371</v>
      </c>
      <c r="CZ17" s="14">
        <f t="shared" si="19"/>
        <v>0.69247475361129862</v>
      </c>
      <c r="DA17" s="41">
        <f t="shared" si="49"/>
        <v>99.127760979473521</v>
      </c>
      <c r="DB17" s="21">
        <v>44483.71875</v>
      </c>
      <c r="DC17" s="21">
        <v>44491.616666666669</v>
      </c>
      <c r="DD17" s="9">
        <f t="shared" si="50"/>
        <v>7.8979166666686069</v>
      </c>
      <c r="DE17" s="9">
        <v>277.24849999999998</v>
      </c>
      <c r="DF17">
        <v>1924.231</v>
      </c>
      <c r="DG17">
        <v>1.7250000000000001</v>
      </c>
      <c r="DH17" s="14">
        <f t="shared" si="20"/>
        <v>0.4523124364971417</v>
      </c>
      <c r="DI17" s="41">
        <f t="shared" si="51"/>
        <v>85.735822338054277</v>
      </c>
      <c r="DJ17" s="21">
        <v>44491.650694444441</v>
      </c>
      <c r="DK17" s="21">
        <v>44498.652083333334</v>
      </c>
      <c r="DL17" s="9">
        <f t="shared" si="21"/>
        <v>7.0013888888934162</v>
      </c>
      <c r="DM17" s="9">
        <v>276.97687499999995</v>
      </c>
      <c r="DN17">
        <v>1407.5429999999999</v>
      </c>
      <c r="DO17">
        <v>1.5669999999999999</v>
      </c>
      <c r="DP17" s="14">
        <f t="shared" si="22"/>
        <v>0.37359154036673048</v>
      </c>
      <c r="DQ17" s="41">
        <f t="shared" si="52"/>
        <v>62.775831832996872</v>
      </c>
      <c r="DR17" s="21">
        <v>44498.686111111114</v>
      </c>
      <c r="DS17" s="21">
        <v>44505.597222222219</v>
      </c>
      <c r="DT17" s="9">
        <f t="shared" si="53"/>
        <v>6.9111111111051287</v>
      </c>
      <c r="DU17" s="9">
        <v>276.60066666666665</v>
      </c>
      <c r="DV17">
        <v>1249.32</v>
      </c>
      <c r="DW17">
        <v>1.5</v>
      </c>
      <c r="DX17" s="14">
        <f t="shared" si="23"/>
        <v>0.33638426213407879</v>
      </c>
      <c r="DY17" s="41">
        <f t="shared" si="54"/>
        <v>55.79493627925757</v>
      </c>
      <c r="DZ17" s="21">
        <v>44505.647222222222</v>
      </c>
      <c r="EA17" s="21">
        <v>44512.655555555553</v>
      </c>
      <c r="EB17" s="9">
        <f t="shared" si="24"/>
        <v>7.0083333333313931</v>
      </c>
      <c r="EC17" s="9">
        <v>277.08091666666667</v>
      </c>
      <c r="ED17">
        <v>1167.4680000000001</v>
      </c>
      <c r="EE17">
        <v>1.6679999999999999</v>
      </c>
      <c r="EF17" s="14">
        <f t="shared" si="25"/>
        <v>0.30944729750169064</v>
      </c>
      <c r="EG17" s="41">
        <f t="shared" si="55"/>
        <v>52.049035439769959</v>
      </c>
      <c r="EH17" s="21">
        <v>44512.676388888889</v>
      </c>
      <c r="EI17" s="21">
        <v>44521.693055555559</v>
      </c>
      <c r="EJ17" s="9">
        <f t="shared" si="56"/>
        <v>9.0166666666700621</v>
      </c>
      <c r="EK17" s="9">
        <v>276.87229166666663</v>
      </c>
      <c r="EL17">
        <v>1357.6010000000001</v>
      </c>
      <c r="EM17">
        <v>1.75</v>
      </c>
      <c r="EN17" s="14">
        <f t="shared" si="26"/>
        <v>0.27990439216909385</v>
      </c>
      <c r="EO17" s="41">
        <f t="shared" si="57"/>
        <v>60.571310465414726</v>
      </c>
      <c r="EP17" s="21">
        <v>44521.732638888891</v>
      </c>
      <c r="EQ17" s="21">
        <v>44530.63958333333</v>
      </c>
      <c r="ER17" s="9">
        <f t="shared" si="27"/>
        <v>8.9069444444394321</v>
      </c>
      <c r="ES17" s="9">
        <v>276.64249999999998</v>
      </c>
      <c r="ET17">
        <v>1387.077</v>
      </c>
      <c r="EU17">
        <v>1.6759999999999999</v>
      </c>
      <c r="EV17" s="14">
        <f t="shared" si="28"/>
        <v>0.28974503355361664</v>
      </c>
      <c r="EW17" s="41">
        <f t="shared" si="58"/>
        <v>61.937830005943255</v>
      </c>
      <c r="EX17" s="21">
        <v>44530.72152777778</v>
      </c>
      <c r="EY17" s="21">
        <v>44539.658333333333</v>
      </c>
      <c r="EZ17" s="9">
        <f t="shared" si="29"/>
        <v>8.9368055555532919</v>
      </c>
      <c r="FA17" s="9">
        <v>276.01466666666664</v>
      </c>
      <c r="FB17">
        <v>1538.9449999999999</v>
      </c>
      <c r="FC17">
        <v>1.7629999999999999</v>
      </c>
      <c r="FD17" s="14">
        <f t="shared" si="30"/>
        <v>0.32112321594543908</v>
      </c>
      <c r="FE17" s="41">
        <f t="shared" si="59"/>
        <v>68.875577766680152</v>
      </c>
      <c r="FF17" s="21">
        <v>44539.674305555556</v>
      </c>
      <c r="FG17" s="21">
        <v>44543.595138888886</v>
      </c>
      <c r="FH17" s="9">
        <f t="shared" si="60"/>
        <v>3.9208333333299379</v>
      </c>
      <c r="FI17" s="9">
        <v>276.78899999999999</v>
      </c>
      <c r="FJ17">
        <v>1092.3140000000001</v>
      </c>
      <c r="FK17">
        <v>1.143</v>
      </c>
      <c r="FL17" s="14">
        <f t="shared" si="31"/>
        <v>0.51806394202265149</v>
      </c>
      <c r="FM17" s="36">
        <f t="shared" si="61"/>
        <v>48.749816944289293</v>
      </c>
      <c r="FS17" s="12"/>
      <c r="FT17" s="7"/>
      <c r="FU17" s="9"/>
      <c r="FV17" s="1"/>
      <c r="FX17" s="14"/>
      <c r="GE17" s="7"/>
      <c r="GF17" s="7"/>
      <c r="GG17" s="9"/>
      <c r="GJ17" s="14"/>
      <c r="GK17" s="7"/>
      <c r="GL17" s="7"/>
      <c r="GM17" s="9"/>
      <c r="GP17" s="14"/>
      <c r="GQ17" s="12"/>
      <c r="GR17" s="7"/>
      <c r="GS17" s="9"/>
      <c r="GV17" s="14"/>
      <c r="GW17" s="7"/>
      <c r="GX17" s="7"/>
      <c r="GY17" s="9"/>
      <c r="HB17" s="14"/>
      <c r="HC17" s="7"/>
      <c r="HD17" s="7"/>
      <c r="HE17" s="9"/>
      <c r="HH17" s="14"/>
      <c r="HI17" s="7"/>
      <c r="HJ17" s="7"/>
      <c r="HK17" s="9"/>
      <c r="HN17" s="14"/>
      <c r="HO17" s="7"/>
      <c r="HP17" s="7"/>
      <c r="HQ17" s="9"/>
      <c r="HT17" s="14"/>
      <c r="HU17" s="7"/>
      <c r="HV17" s="7"/>
      <c r="HW17" s="9"/>
      <c r="HZ17" s="14"/>
      <c r="IG17" s="7"/>
      <c r="IH17" s="7"/>
      <c r="II17" s="9"/>
      <c r="IL17" s="14"/>
    </row>
    <row r="18" spans="1:246" ht="19" x14ac:dyDescent="0.25">
      <c r="A18" s="29" t="s">
        <v>35</v>
      </c>
      <c r="B18">
        <v>473.17599999999999</v>
      </c>
      <c r="C18">
        <f>Vol_soil_calc!L17</f>
        <v>8.2946780134415654</v>
      </c>
      <c r="D18" s="28">
        <v>8.2057366080959995E-2</v>
      </c>
      <c r="E18">
        <v>275.14999999999998</v>
      </c>
      <c r="F18">
        <f t="shared" si="0"/>
        <v>0.4648813219865584</v>
      </c>
      <c r="G18">
        <v>0.3400000000000003</v>
      </c>
      <c r="H18">
        <v>12.154</v>
      </c>
      <c r="I18" s="9">
        <f t="shared" si="1"/>
        <v>9.0701492537313406</v>
      </c>
      <c r="J18" s="6">
        <v>44447.912499999999</v>
      </c>
      <c r="K18" s="7">
        <v>44447.93472222222</v>
      </c>
      <c r="L18" s="9">
        <f>(K18-J18)</f>
        <v>2.2222222221898846E-2</v>
      </c>
      <c r="M18" s="9">
        <v>275.14999999999998</v>
      </c>
      <c r="N18" s="29">
        <v>67.119</v>
      </c>
      <c r="O18" s="29">
        <v>4.2999999999999997E-2</v>
      </c>
      <c r="P18" s="14">
        <f t="shared" si="2"/>
        <v>3.4282190940801933</v>
      </c>
      <c r="Q18" s="41">
        <f t="shared" si="33"/>
        <v>1.8283835168161633</v>
      </c>
      <c r="R18" s="6"/>
      <c r="S18" s="30">
        <v>0.5083333333333333</v>
      </c>
      <c r="T18" s="9">
        <f t="shared" si="3"/>
        <v>0.5083333333333333</v>
      </c>
      <c r="U18" s="9">
        <v>275.14999999999998</v>
      </c>
      <c r="V18">
        <v>599.99300000000005</v>
      </c>
      <c r="W18">
        <v>0.24099999999999999</v>
      </c>
      <c r="X18" s="14">
        <f t="shared" si="4"/>
        <v>1.3397018989334584</v>
      </c>
      <c r="Y18" s="36">
        <f t="shared" si="34"/>
        <v>16.344363166988192</v>
      </c>
      <c r="Z18" s="7">
        <v>44448.589583333334</v>
      </c>
      <c r="AA18" s="7">
        <v>44449.679861111108</v>
      </c>
      <c r="AB18" s="9">
        <f t="shared" si="35"/>
        <v>1.0902777777737356</v>
      </c>
      <c r="AC18">
        <v>278.97624999999999</v>
      </c>
      <c r="AD18">
        <v>396.32900000000001</v>
      </c>
      <c r="AE18">
        <v>6.8000000000000005E-2</v>
      </c>
      <c r="AF18" s="14">
        <f t="shared" si="5"/>
        <v>0.4069410997927988</v>
      </c>
      <c r="AG18" s="41">
        <f t="shared" si="36"/>
        <v>10.648292111205423</v>
      </c>
      <c r="AH18" s="7">
        <v>44449.725694444445</v>
      </c>
      <c r="AI18" s="21">
        <v>44451.840277777781</v>
      </c>
      <c r="AJ18" s="9">
        <f t="shared" si="6"/>
        <v>2.1145833333357587</v>
      </c>
      <c r="AK18" s="9">
        <v>275.30391666666662</v>
      </c>
      <c r="AL18">
        <v>402.05700000000002</v>
      </c>
      <c r="AM18">
        <v>3.5000000000000003E-2</v>
      </c>
      <c r="AN18" s="14">
        <f t="shared" si="7"/>
        <v>0.21569025722796528</v>
      </c>
      <c r="AO18" s="41">
        <f t="shared" si="37"/>
        <v>10.946280554331793</v>
      </c>
      <c r="AP18" s="21">
        <v>44451.90347222222</v>
      </c>
      <c r="AQ18" s="21">
        <v>44453.745138888888</v>
      </c>
      <c r="AR18" s="9">
        <f t="shared" si="38"/>
        <v>1.8416666666671517</v>
      </c>
      <c r="AS18" s="9">
        <v>275.34574999999995</v>
      </c>
      <c r="AT18">
        <v>389.36900000000003</v>
      </c>
      <c r="AU18">
        <v>0.02</v>
      </c>
      <c r="AV18" s="14">
        <f t="shared" si="8"/>
        <v>0.23980159209141208</v>
      </c>
      <c r="AW18" s="41">
        <f t="shared" si="39"/>
        <v>10.599230370443205</v>
      </c>
      <c r="AX18" s="21">
        <v>44453.801388888889</v>
      </c>
      <c r="AY18" s="21">
        <v>44456.623611111114</v>
      </c>
      <c r="AZ18" s="9">
        <f t="shared" si="9"/>
        <v>2.8222222222248092</v>
      </c>
      <c r="BA18" s="9">
        <v>275.28258333333332</v>
      </c>
      <c r="BB18">
        <v>643.64200000000005</v>
      </c>
      <c r="BC18">
        <v>2.4E-2</v>
      </c>
      <c r="BD18" s="14">
        <f t="shared" si="10"/>
        <v>0.25873461128695346</v>
      </c>
      <c r="BE18" s="41">
        <f t="shared" si="40"/>
        <v>17.52495767118571</v>
      </c>
      <c r="BF18" s="21">
        <v>44456.654861111114</v>
      </c>
      <c r="BG18" s="21">
        <v>44459.67083333333</v>
      </c>
      <c r="BH18" s="9">
        <f t="shared" si="41"/>
        <v>3.0159722222160781</v>
      </c>
      <c r="BI18" s="9">
        <v>274.02612499999998</v>
      </c>
      <c r="BJ18">
        <v>503.279</v>
      </c>
      <c r="BK18">
        <v>2.0920000000000001</v>
      </c>
      <c r="BL18" s="14">
        <f t="shared" si="11"/>
        <v>0.1901820822525607</v>
      </c>
      <c r="BM18" s="41">
        <f t="shared" si="42"/>
        <v>13.766013053686473</v>
      </c>
      <c r="BN18" s="21">
        <v>44459.831250000003</v>
      </c>
      <c r="BO18" s="21">
        <v>44461.662499999999</v>
      </c>
      <c r="BP18" s="9">
        <f t="shared" si="12"/>
        <v>1.8312499999956344</v>
      </c>
      <c r="BQ18" s="9">
        <v>276.14041666666662</v>
      </c>
      <c r="BR18">
        <v>529.255</v>
      </c>
      <c r="BS18">
        <v>2.008</v>
      </c>
      <c r="BT18" s="14">
        <f t="shared" si="13"/>
        <v>0.32686427130422874</v>
      </c>
      <c r="BU18" s="41">
        <f t="shared" si="43"/>
        <v>14.365684723786607</v>
      </c>
      <c r="BV18" s="21">
        <v>44461.679861111108</v>
      </c>
      <c r="BW18" s="21">
        <v>44466.618055555555</v>
      </c>
      <c r="BX18" s="9">
        <f t="shared" si="44"/>
        <v>4.9381944444467081</v>
      </c>
      <c r="BY18" s="9">
        <v>276.28674999999998</v>
      </c>
      <c r="BZ18">
        <v>558.80200000000002</v>
      </c>
      <c r="CA18">
        <v>2.056</v>
      </c>
      <c r="CB18" s="14">
        <f t="shared" si="14"/>
        <v>0.12791156217697838</v>
      </c>
      <c r="CC18" s="41">
        <f t="shared" si="45"/>
        <v>15.159651977348503</v>
      </c>
      <c r="CD18" s="21">
        <v>44466.62777777778</v>
      </c>
      <c r="CE18" s="21">
        <v>44473.588194444441</v>
      </c>
      <c r="CF18" s="9">
        <f t="shared" si="15"/>
        <v>6.960416666661331</v>
      </c>
      <c r="CG18" s="9">
        <v>276.3075833333333</v>
      </c>
      <c r="CH18">
        <v>649.20500000000004</v>
      </c>
      <c r="CI18">
        <v>2.0099999999999998</v>
      </c>
      <c r="CJ18" s="14">
        <f t="shared" si="16"/>
        <v>0.10542264513487561</v>
      </c>
      <c r="CK18" s="41">
        <f t="shared" si="46"/>
        <v>17.61085286976747</v>
      </c>
      <c r="CL18" s="21">
        <v>44473.633333333331</v>
      </c>
      <c r="CM18" s="21">
        <v>44477.686111111114</v>
      </c>
      <c r="CN18" s="9">
        <f t="shared" si="47"/>
        <v>4.0527777777824667</v>
      </c>
      <c r="CO18" s="9">
        <v>276.45387499999998</v>
      </c>
      <c r="CP18">
        <v>659.95100000000002</v>
      </c>
      <c r="CQ18">
        <v>2.0350000000000001</v>
      </c>
      <c r="CR18" s="14">
        <f t="shared" si="17"/>
        <v>0.18395699808004809</v>
      </c>
      <c r="CS18" s="41">
        <f t="shared" si="48"/>
        <v>17.892884013273381</v>
      </c>
      <c r="CT18" s="21">
        <v>44477.722222222219</v>
      </c>
      <c r="CU18" s="21">
        <v>44483.680555555555</v>
      </c>
      <c r="CV18" s="9">
        <f t="shared" si="18"/>
        <v>5.9583333333357587</v>
      </c>
      <c r="CW18" s="9">
        <v>277.06033333333329</v>
      </c>
      <c r="CX18">
        <v>712.50300000000004</v>
      </c>
      <c r="CY18">
        <v>2.0169999999999999</v>
      </c>
      <c r="CZ18" s="14">
        <f t="shared" si="19"/>
        <v>0.13479309478552332</v>
      </c>
      <c r="DA18" s="41">
        <f t="shared" si="49"/>
        <v>19.275412554337681</v>
      </c>
      <c r="DB18" s="21">
        <v>44483.71875</v>
      </c>
      <c r="DC18" s="21">
        <v>44491.613194444442</v>
      </c>
      <c r="DD18" s="9">
        <f t="shared" si="50"/>
        <v>7.8944444444423425</v>
      </c>
      <c r="DE18" s="9">
        <v>277.24849999999998</v>
      </c>
      <c r="DF18">
        <v>726.625</v>
      </c>
      <c r="DG18">
        <v>2.0910000000000002</v>
      </c>
      <c r="DH18" s="14">
        <f t="shared" si="20"/>
        <v>0.10368111367474979</v>
      </c>
      <c r="DI18" s="41">
        <f t="shared" si="51"/>
        <v>19.644115004237364</v>
      </c>
      <c r="DJ18" s="21">
        <v>44491.650694444441</v>
      </c>
      <c r="DK18" s="21">
        <v>44498.648611111108</v>
      </c>
      <c r="DL18" s="9">
        <f t="shared" si="21"/>
        <v>6.9979166666671517</v>
      </c>
      <c r="DM18" s="9">
        <v>276.97687499999995</v>
      </c>
      <c r="DN18">
        <v>723.79899999999998</v>
      </c>
      <c r="DO18">
        <v>2.0369999999999999</v>
      </c>
      <c r="DP18" s="14">
        <f t="shared" si="22"/>
        <v>0.11662342637026792</v>
      </c>
      <c r="DQ18" s="41">
        <f t="shared" si="52"/>
        <v>19.586904458887854</v>
      </c>
      <c r="DR18" s="21">
        <v>44498.686111111114</v>
      </c>
      <c r="DS18" s="21">
        <v>44505.61041666667</v>
      </c>
      <c r="DT18" s="9">
        <f t="shared" si="53"/>
        <v>6.9243055555562023</v>
      </c>
      <c r="DU18" s="9">
        <v>276.60066666666665</v>
      </c>
      <c r="DV18">
        <v>739.67600000000004</v>
      </c>
      <c r="DW18">
        <v>2.0470000000000002</v>
      </c>
      <c r="DX18" s="14">
        <f t="shared" si="23"/>
        <v>0.12061246026522919</v>
      </c>
      <c r="DY18" s="41">
        <f t="shared" si="54"/>
        <v>20.043780688411875</v>
      </c>
      <c r="DZ18" s="21">
        <v>44505.647222222222</v>
      </c>
      <c r="EA18" s="21">
        <v>44512.659722222219</v>
      </c>
      <c r="EB18" s="9">
        <f t="shared" si="24"/>
        <v>7.0124999999970896</v>
      </c>
      <c r="EC18" s="9">
        <v>277.08091666666667</v>
      </c>
      <c r="ED18">
        <v>717.86300000000006</v>
      </c>
      <c r="EE18">
        <v>2.052</v>
      </c>
      <c r="EF18" s="14">
        <f t="shared" si="25"/>
        <v>0.11538309257568195</v>
      </c>
      <c r="EG18" s="41">
        <f t="shared" si="55"/>
        <v>19.418974480479214</v>
      </c>
      <c r="EH18" s="21">
        <v>44512.676388888889</v>
      </c>
      <c r="EI18" s="21">
        <v>44521.681944444441</v>
      </c>
      <c r="EJ18" s="9">
        <f t="shared" si="56"/>
        <v>9.0055555555518367</v>
      </c>
      <c r="EK18" s="9">
        <v>276.87229166666663</v>
      </c>
      <c r="EL18">
        <v>666.096</v>
      </c>
      <c r="EM18">
        <v>2.036</v>
      </c>
      <c r="EN18" s="14">
        <f t="shared" si="26"/>
        <v>8.3430897603702828E-2</v>
      </c>
      <c r="EO18" s="41">
        <f t="shared" si="57"/>
        <v>18.032198002072857</v>
      </c>
      <c r="EP18" s="21">
        <v>44521.732638888891</v>
      </c>
      <c r="EQ18" s="21">
        <v>44530.626388888886</v>
      </c>
      <c r="ER18" s="9">
        <f t="shared" si="27"/>
        <v>8.8937499999956344</v>
      </c>
      <c r="ES18" s="9">
        <v>276.64249999999998</v>
      </c>
      <c r="ET18">
        <v>661.77800000000002</v>
      </c>
      <c r="EU18">
        <v>2.0569999999999999</v>
      </c>
      <c r="EV18" s="14">
        <f t="shared" si="28"/>
        <v>8.4001802053206509E-2</v>
      </c>
      <c r="EW18" s="41">
        <f t="shared" si="58"/>
        <v>17.93018464824813</v>
      </c>
      <c r="EX18" s="21">
        <v>44530.72152777778</v>
      </c>
      <c r="EY18" s="21">
        <v>44539.642361111109</v>
      </c>
      <c r="EZ18" s="9">
        <f t="shared" si="29"/>
        <v>8.9208333333299379</v>
      </c>
      <c r="FA18" s="9">
        <v>276.01466666666664</v>
      </c>
      <c r="FB18">
        <v>655.36400000000003</v>
      </c>
      <c r="FC18">
        <v>2.1280000000000001</v>
      </c>
      <c r="FD18" s="14">
        <f t="shared" si="30"/>
        <v>8.3123743074068931E-2</v>
      </c>
      <c r="FE18" s="41">
        <f t="shared" si="59"/>
        <v>17.796793392151383</v>
      </c>
      <c r="FF18" s="21">
        <v>44539.674305555556</v>
      </c>
      <c r="FG18" s="21">
        <v>44543.569444444445</v>
      </c>
      <c r="FH18" s="9">
        <f t="shared" si="60"/>
        <v>3.8951388888890506</v>
      </c>
      <c r="FI18" s="9">
        <v>276.78899999999999</v>
      </c>
      <c r="FJ18">
        <v>673.90800000000002</v>
      </c>
      <c r="FK18">
        <v>2.06</v>
      </c>
      <c r="FL18" s="14">
        <f t="shared" si="31"/>
        <v>0.195213088642093</v>
      </c>
      <c r="FM18" s="36">
        <f t="shared" si="61"/>
        <v>18.249170236559085</v>
      </c>
      <c r="FS18" s="12"/>
      <c r="FT18" s="7"/>
      <c r="FU18" s="9"/>
      <c r="FV18" s="23"/>
      <c r="FX18" s="14"/>
      <c r="GE18" s="7"/>
      <c r="GF18" s="7"/>
      <c r="GG18" s="9"/>
      <c r="GJ18" s="14"/>
      <c r="GK18" s="7"/>
      <c r="GL18" s="7"/>
      <c r="GM18" s="9"/>
      <c r="GP18" s="14"/>
      <c r="GQ18" s="7"/>
      <c r="GR18" s="7"/>
      <c r="GS18" s="9"/>
      <c r="GV18" s="14"/>
      <c r="GW18" s="7"/>
      <c r="GX18" s="7"/>
      <c r="GY18" s="9"/>
      <c r="HB18" s="14"/>
      <c r="HC18" s="7"/>
      <c r="HD18" s="7"/>
      <c r="HE18" s="9"/>
      <c r="HH18" s="14"/>
      <c r="HI18" s="7"/>
      <c r="HJ18" s="7"/>
      <c r="HK18" s="9"/>
      <c r="HN18" s="14"/>
      <c r="HO18" s="7"/>
      <c r="HP18" s="7"/>
      <c r="HQ18" s="9"/>
      <c r="HT18" s="14"/>
      <c r="HU18" s="7"/>
      <c r="HV18" s="7"/>
      <c r="HW18" s="9"/>
      <c r="HZ18" s="14"/>
      <c r="IG18" s="7"/>
      <c r="IH18" s="7"/>
      <c r="II18" s="9"/>
      <c r="IL18" s="14"/>
    </row>
    <row r="19" spans="1:246" ht="19" x14ac:dyDescent="0.25">
      <c r="A19" s="29" t="s">
        <v>36</v>
      </c>
      <c r="B19">
        <v>473.17599999999999</v>
      </c>
      <c r="C19">
        <f>Vol_soil_calc!L18</f>
        <v>30.826291103075754</v>
      </c>
      <c r="D19" s="28">
        <v>8.2057366080959995E-2</v>
      </c>
      <c r="E19">
        <v>275.14999999999998</v>
      </c>
      <c r="F19">
        <f t="shared" si="0"/>
        <v>0.44234970889692427</v>
      </c>
      <c r="G19">
        <v>2.9300000000000006</v>
      </c>
      <c r="H19">
        <v>35.006999999999998</v>
      </c>
      <c r="I19" s="9">
        <f t="shared" si="1"/>
        <v>8.9076335877862576</v>
      </c>
      <c r="J19" s="6">
        <v>44447.912499999999</v>
      </c>
      <c r="K19" s="7">
        <v>44447.938888888886</v>
      </c>
      <c r="L19" s="9">
        <f>(K19-J19)</f>
        <v>2.6388888887595385E-2</v>
      </c>
      <c r="M19" s="9">
        <v>275.14999999999998</v>
      </c>
      <c r="N19" s="29">
        <v>258.68</v>
      </c>
      <c r="O19" s="29">
        <v>41.773000000000003</v>
      </c>
      <c r="P19" s="14">
        <f t="shared" si="2"/>
        <v>10.780230922348215</v>
      </c>
      <c r="Q19" s="41">
        <f t="shared" si="33"/>
        <v>6.8274795838192075</v>
      </c>
      <c r="R19" s="6"/>
      <c r="S19" s="30">
        <v>0.51388888888888895</v>
      </c>
      <c r="T19" s="9">
        <f t="shared" si="3"/>
        <v>0.51388888888888895</v>
      </c>
      <c r="U19" s="9">
        <v>275.14999999999998</v>
      </c>
      <c r="V19">
        <v>2299.1559999999999</v>
      </c>
      <c r="W19">
        <v>536.93299999999999</v>
      </c>
      <c r="X19" s="14">
        <f t="shared" si="4"/>
        <v>4.9202313982888484</v>
      </c>
      <c r="Y19" s="36">
        <f t="shared" si="34"/>
        <v>60.682853912229142</v>
      </c>
      <c r="Z19" s="7">
        <v>44448.589583333334</v>
      </c>
      <c r="AA19" s="7">
        <v>44449.683333333334</v>
      </c>
      <c r="AB19" s="9">
        <f t="shared" si="35"/>
        <v>1.09375</v>
      </c>
      <c r="AC19">
        <v>278.97624999999999</v>
      </c>
      <c r="AD19">
        <v>1068.1410000000001</v>
      </c>
      <c r="AE19">
        <v>264.00299999999999</v>
      </c>
      <c r="AF19" s="14">
        <f t="shared" si="5"/>
        <v>1.0592515803681728</v>
      </c>
      <c r="AG19" s="41">
        <f t="shared" si="36"/>
        <v>27.805353984664535</v>
      </c>
      <c r="AH19" s="7">
        <v>44449.73333333333</v>
      </c>
      <c r="AI19" s="21">
        <v>44451.845833333333</v>
      </c>
      <c r="AJ19" s="9">
        <f t="shared" si="6"/>
        <v>2.1125000000029104</v>
      </c>
      <c r="AK19" s="9">
        <v>275.30391666666662</v>
      </c>
      <c r="AL19">
        <v>780.44600000000003</v>
      </c>
      <c r="AM19">
        <v>40.49</v>
      </c>
      <c r="AN19" s="14">
        <f t="shared" si="7"/>
        <v>0.40605941512921484</v>
      </c>
      <c r="AO19" s="41">
        <f t="shared" si="37"/>
        <v>20.587212347079554</v>
      </c>
      <c r="AP19" s="21">
        <v>44451.895138888889</v>
      </c>
      <c r="AQ19" s="21">
        <v>44453.750694444447</v>
      </c>
      <c r="AR19" s="9">
        <f t="shared" si="38"/>
        <v>1.8555555555576575</v>
      </c>
      <c r="AS19" s="9">
        <v>275.34574999999995</v>
      </c>
      <c r="AT19">
        <v>399.137</v>
      </c>
      <c r="AU19">
        <v>0.02</v>
      </c>
      <c r="AV19" s="14">
        <f t="shared" si="8"/>
        <v>0.23638803082264109</v>
      </c>
      <c r="AW19" s="41">
        <f t="shared" si="39"/>
        <v>10.527146972646875</v>
      </c>
      <c r="AX19" s="21">
        <v>44453.801388888889</v>
      </c>
      <c r="AY19" s="21">
        <v>44456.636111111111</v>
      </c>
      <c r="AZ19" s="9">
        <f t="shared" si="9"/>
        <v>2.8347222222218988</v>
      </c>
      <c r="BA19" s="9">
        <v>275.28258333333332</v>
      </c>
      <c r="BB19">
        <v>467.971</v>
      </c>
      <c r="BC19">
        <v>1.944</v>
      </c>
      <c r="BD19" s="14">
        <f t="shared" si="10"/>
        <v>0.18146193209681574</v>
      </c>
      <c r="BE19" s="41">
        <f t="shared" si="40"/>
        <v>12.345460113651956</v>
      </c>
      <c r="BF19" s="21">
        <v>44456.654861111114</v>
      </c>
      <c r="BG19" s="21">
        <v>44459.692361111112</v>
      </c>
      <c r="BH19" s="9">
        <f t="shared" si="41"/>
        <v>3.0374999999985448</v>
      </c>
      <c r="BI19" s="9">
        <v>274.02612499999998</v>
      </c>
      <c r="BJ19">
        <v>232.512</v>
      </c>
      <c r="BK19">
        <v>1.105</v>
      </c>
      <c r="BL19" s="14">
        <f t="shared" si="11"/>
        <v>8.4526512201004475E-2</v>
      </c>
      <c r="BM19" s="41">
        <f t="shared" si="42"/>
        <v>6.1619827394502735</v>
      </c>
      <c r="BN19" s="21">
        <v>44459.831250000003</v>
      </c>
      <c r="BO19" s="21">
        <v>44461.511805555558</v>
      </c>
      <c r="BP19" s="9">
        <f t="shared" si="12"/>
        <v>1.6805555555547471</v>
      </c>
      <c r="BQ19" s="9">
        <v>276.14041666666662</v>
      </c>
      <c r="BR19">
        <v>266.15699999999998</v>
      </c>
      <c r="BS19">
        <v>4.5339999999999998</v>
      </c>
      <c r="BT19" s="14">
        <f t="shared" si="13"/>
        <v>0.17354450872122057</v>
      </c>
      <c r="BU19" s="41">
        <f t="shared" si="43"/>
        <v>6.9996285184191951</v>
      </c>
      <c r="BV19" s="21">
        <v>44461.679861111108</v>
      </c>
      <c r="BW19" s="21">
        <v>44466.583333333336</v>
      </c>
      <c r="BX19" s="9">
        <f t="shared" si="44"/>
        <v>4.9034722222277196</v>
      </c>
      <c r="BY19" s="9">
        <v>276.28674999999998</v>
      </c>
      <c r="BZ19">
        <v>556.78099999999995</v>
      </c>
      <c r="CA19">
        <v>10.590999999999999</v>
      </c>
      <c r="CB19" s="14">
        <f t="shared" si="14"/>
        <v>0.12435878285918295</v>
      </c>
      <c r="CC19" s="41">
        <f t="shared" si="45"/>
        <v>14.634956096161254</v>
      </c>
      <c r="CD19" s="21">
        <v>44466.62777777778</v>
      </c>
      <c r="CE19" s="21">
        <v>44473.584027777775</v>
      </c>
      <c r="CF19" s="9">
        <f t="shared" si="15"/>
        <v>6.9562499999956344</v>
      </c>
      <c r="CG19" s="9">
        <v>276.3075833333333</v>
      </c>
      <c r="CH19">
        <v>721.67899999999997</v>
      </c>
      <c r="CI19">
        <v>16.216999999999999</v>
      </c>
      <c r="CJ19" s="14">
        <f t="shared" si="16"/>
        <v>0.11361401699565166</v>
      </c>
      <c r="CK19" s="41">
        <f t="shared" si="46"/>
        <v>18.967860137412138</v>
      </c>
      <c r="CL19" s="21">
        <v>44473.633333333331</v>
      </c>
      <c r="CM19" s="21">
        <v>44477.692361111112</v>
      </c>
      <c r="CN19" s="9">
        <f t="shared" si="47"/>
        <v>4.0590277777810115</v>
      </c>
      <c r="CO19" s="9">
        <v>276.45387499999998</v>
      </c>
      <c r="CP19">
        <v>609.51400000000001</v>
      </c>
      <c r="CQ19">
        <v>8.5679999999999996</v>
      </c>
      <c r="CR19" s="14">
        <f t="shared" si="17"/>
        <v>0.16435950082333767</v>
      </c>
      <c r="CS19" s="41">
        <f t="shared" si="48"/>
        <v>16.011354705219567</v>
      </c>
      <c r="CT19" s="21">
        <v>44477.722222222219</v>
      </c>
      <c r="CU19" s="21">
        <v>44483.697916666664</v>
      </c>
      <c r="CV19" s="9">
        <f t="shared" si="18"/>
        <v>5.9756944444452529</v>
      </c>
      <c r="CW19" s="9">
        <v>277.06033333333329</v>
      </c>
      <c r="CX19">
        <v>1425.463</v>
      </c>
      <c r="CY19">
        <v>8.1</v>
      </c>
      <c r="CZ19" s="14">
        <f t="shared" si="19"/>
        <v>0.26052478573265325</v>
      </c>
      <c r="DA19" s="41">
        <f t="shared" si="49"/>
        <v>37.363596353829742</v>
      </c>
      <c r="DB19" s="21">
        <v>44483.71875</v>
      </c>
      <c r="DC19" s="21">
        <v>44491.636805555558</v>
      </c>
      <c r="DD19" s="9">
        <f t="shared" si="50"/>
        <v>7.9180555555576575</v>
      </c>
      <c r="DE19" s="9">
        <v>277.24849999999998</v>
      </c>
      <c r="DF19">
        <v>4489.5739999999996</v>
      </c>
      <c r="DG19">
        <v>7.7990000000000004</v>
      </c>
      <c r="DH19" s="14">
        <f t="shared" si="20"/>
        <v>0.61883264795033555</v>
      </c>
      <c r="DI19" s="41">
        <f t="shared" si="51"/>
        <v>117.59883086552664</v>
      </c>
      <c r="DJ19" s="21">
        <v>44491.650694444441</v>
      </c>
      <c r="DK19" s="21">
        <v>44498.675694444442</v>
      </c>
      <c r="DL19" s="9">
        <f t="shared" si="21"/>
        <v>7.0250000000014552</v>
      </c>
      <c r="DM19" s="9">
        <v>276.97687499999995</v>
      </c>
      <c r="DN19">
        <v>3634.2159999999999</v>
      </c>
      <c r="DO19">
        <v>10.276999999999999</v>
      </c>
      <c r="DP19" s="14">
        <f t="shared" si="22"/>
        <v>0.56516691443336953</v>
      </c>
      <c r="DQ19" s="41">
        <f t="shared" si="52"/>
        <v>95.287141773485843</v>
      </c>
      <c r="DR19" s="21">
        <v>44498.686111111114</v>
      </c>
      <c r="DS19" s="21">
        <v>44505.576388888891</v>
      </c>
      <c r="DT19" s="9">
        <f t="shared" si="53"/>
        <v>6.890277777776646</v>
      </c>
      <c r="DU19" s="9">
        <v>276.60066666666665</v>
      </c>
      <c r="DV19">
        <v>3081.1309999999999</v>
      </c>
      <c r="DW19">
        <v>10.585000000000001</v>
      </c>
      <c r="DX19" s="14">
        <f t="shared" si="23"/>
        <v>0.48918828010253962</v>
      </c>
      <c r="DY19" s="41">
        <f t="shared" si="54"/>
        <v>80.895435252943344</v>
      </c>
      <c r="DZ19" s="21">
        <v>44505.647222222222</v>
      </c>
      <c r="EA19" s="21">
        <v>44512.629166666666</v>
      </c>
      <c r="EB19" s="9">
        <f t="shared" si="24"/>
        <v>6.9819444444437977</v>
      </c>
      <c r="EC19" s="9">
        <v>277.08091666666667</v>
      </c>
      <c r="ED19">
        <v>3182.462</v>
      </c>
      <c r="EE19">
        <v>12.048</v>
      </c>
      <c r="EF19" s="14">
        <f t="shared" si="25"/>
        <v>0.49777840920109029</v>
      </c>
      <c r="EG19" s="41">
        <f t="shared" si="55"/>
        <v>83.411068768454967</v>
      </c>
      <c r="EH19" s="21">
        <v>44512.676388888889</v>
      </c>
      <c r="EI19" s="21">
        <v>44521.688888888886</v>
      </c>
      <c r="EJ19" s="9">
        <f t="shared" si="56"/>
        <v>9.0124999999970896</v>
      </c>
      <c r="EK19" s="9">
        <v>276.87229166666663</v>
      </c>
      <c r="EL19">
        <v>5384.7</v>
      </c>
      <c r="EM19">
        <v>22.574000000000002</v>
      </c>
      <c r="EN19" s="14">
        <f t="shared" si="26"/>
        <v>0.65296901361319826</v>
      </c>
      <c r="EO19" s="41">
        <f t="shared" si="57"/>
        <v>141.23719764448919</v>
      </c>
      <c r="EP19" s="21">
        <v>44521.732638888891</v>
      </c>
      <c r="EQ19" s="21">
        <v>44530.630555555559</v>
      </c>
      <c r="ER19" s="9">
        <f t="shared" si="27"/>
        <v>8.8979166666686069</v>
      </c>
      <c r="ES19" s="9">
        <v>276.64249999999998</v>
      </c>
      <c r="ET19">
        <v>5639.098</v>
      </c>
      <c r="EU19">
        <v>14.074999999999999</v>
      </c>
      <c r="EV19" s="14">
        <f t="shared" si="28"/>
        <v>0.69319949990453777</v>
      </c>
      <c r="EW19" s="41">
        <f t="shared" si="58"/>
        <v>148.03275320464633</v>
      </c>
      <c r="EX19" s="21">
        <v>44530.72152777778</v>
      </c>
      <c r="EY19" s="21">
        <v>44539.638194444444</v>
      </c>
      <c r="EZ19" s="9">
        <f t="shared" si="29"/>
        <v>8.9166666666642413</v>
      </c>
      <c r="FA19" s="9">
        <v>276.01466666666664</v>
      </c>
      <c r="FB19">
        <v>3401.491</v>
      </c>
      <c r="FC19">
        <v>8.93</v>
      </c>
      <c r="FD19" s="14">
        <f t="shared" si="30"/>
        <v>0.41820620088824118</v>
      </c>
      <c r="FE19" s="41">
        <f t="shared" si="59"/>
        <v>89.496126990059267</v>
      </c>
      <c r="FF19" s="21">
        <v>44539.674305555556</v>
      </c>
      <c r="FG19" s="21">
        <v>44543.587500000001</v>
      </c>
      <c r="FH19" s="9">
        <f t="shared" si="60"/>
        <v>3.9131944444452529</v>
      </c>
      <c r="FI19" s="9">
        <v>276.78899999999999</v>
      </c>
      <c r="FJ19">
        <v>1367.7760000000001</v>
      </c>
      <c r="FK19">
        <v>3.5209999999999999</v>
      </c>
      <c r="FL19" s="14">
        <f t="shared" si="31"/>
        <v>0.38211189507091986</v>
      </c>
      <c r="FM19" s="36">
        <f t="shared" si="61"/>
        <v>35.886675478751307</v>
      </c>
      <c r="FU19" s="9"/>
      <c r="FX19" s="14"/>
      <c r="II19" s="9"/>
      <c r="IL19" s="14"/>
    </row>
    <row r="20" spans="1:246" ht="19" x14ac:dyDescent="0.25">
      <c r="A20" s="29" t="s">
        <v>37</v>
      </c>
      <c r="B20">
        <v>473.17599999999999</v>
      </c>
      <c r="C20">
        <f>Vol_soil_calc!L19</f>
        <v>26.784192150019681</v>
      </c>
      <c r="D20" s="28">
        <v>8.2057366080959995E-2</v>
      </c>
      <c r="E20">
        <v>275.14999999999998</v>
      </c>
      <c r="F20">
        <f t="shared" si="0"/>
        <v>0.44639180784998028</v>
      </c>
      <c r="G20">
        <v>2.3580000000000005</v>
      </c>
      <c r="H20">
        <v>31.135999999999999</v>
      </c>
      <c r="I20" s="9">
        <f t="shared" si="1"/>
        <v>9.2721858248957698</v>
      </c>
      <c r="J20" s="6">
        <v>44447.912499999999</v>
      </c>
      <c r="K20" s="7">
        <v>44447.944444444445</v>
      </c>
      <c r="L20" s="9">
        <f t="shared" ref="L20:L26" si="62">(K20-J20)</f>
        <v>3.1944444446708076E-2</v>
      </c>
      <c r="M20" s="9">
        <v>275.14999999999998</v>
      </c>
      <c r="N20" s="29">
        <v>329.61200000000002</v>
      </c>
      <c r="O20" s="29">
        <v>37.994999999999997</v>
      </c>
      <c r="P20" s="14">
        <f t="shared" si="2"/>
        <v>11.000810369318202</v>
      </c>
      <c r="Q20" s="41">
        <f t="shared" si="33"/>
        <v>8.4339546170749315</v>
      </c>
      <c r="R20" s="6"/>
      <c r="S20" s="30">
        <v>0.52013888888888882</v>
      </c>
      <c r="T20" s="9">
        <f t="shared" si="3"/>
        <v>0.52013888888888882</v>
      </c>
      <c r="U20" s="9">
        <v>275.14999999999998</v>
      </c>
      <c r="V20">
        <v>1835.1959999999999</v>
      </c>
      <c r="W20">
        <v>280.22300000000001</v>
      </c>
      <c r="X20" s="14">
        <f t="shared" si="4"/>
        <v>3.7616651360390079</v>
      </c>
      <c r="Y20" s="36">
        <f t="shared" si="34"/>
        <v>46.958119781553606</v>
      </c>
      <c r="Z20" s="7">
        <v>44448.589583333334</v>
      </c>
      <c r="AA20" s="7">
        <v>44449.688194444447</v>
      </c>
      <c r="AB20" s="9">
        <f t="shared" si="35"/>
        <v>1.0986111111124046</v>
      </c>
      <c r="AC20">
        <v>278.97624999999999</v>
      </c>
      <c r="AD20">
        <v>1011.418</v>
      </c>
      <c r="AE20">
        <v>77.125</v>
      </c>
      <c r="AF20" s="14">
        <f t="shared" si="5"/>
        <v>0.9680682572250866</v>
      </c>
      <c r="AG20" s="41">
        <f t="shared" si="36"/>
        <v>25.524733048864839</v>
      </c>
      <c r="AH20" s="7">
        <v>44449.73333333333</v>
      </c>
      <c r="AI20" s="21">
        <v>44451.850694444445</v>
      </c>
      <c r="AJ20" s="9">
        <f>(AI20-AH20)</f>
        <v>2.117361111115315</v>
      </c>
      <c r="AK20" s="9">
        <v>275.30391666666662</v>
      </c>
      <c r="AL20">
        <v>801.43200000000002</v>
      </c>
      <c r="AM20">
        <v>15.17</v>
      </c>
      <c r="AN20" s="14">
        <f t="shared" si="7"/>
        <v>0.40331639594525126</v>
      </c>
      <c r="AO20" s="41">
        <f t="shared" si="37"/>
        <v>20.495194853991876</v>
      </c>
      <c r="AP20" s="21">
        <v>44451.90347222222</v>
      </c>
      <c r="AQ20" s="21">
        <v>44453.754861111112</v>
      </c>
      <c r="AR20" s="9">
        <f t="shared" si="38"/>
        <v>1.851388888891961</v>
      </c>
      <c r="AS20" s="9">
        <v>275.34574999999995</v>
      </c>
      <c r="AT20">
        <v>623.69000000000005</v>
      </c>
      <c r="AU20">
        <v>0.02</v>
      </c>
      <c r="AV20" s="14">
        <f t="shared" si="8"/>
        <v>0.3589048036944405</v>
      </c>
      <c r="AW20" s="41">
        <f t="shared" si="39"/>
        <v>15.947336777516099</v>
      </c>
      <c r="AX20" s="21">
        <v>44453.801388888889</v>
      </c>
      <c r="AY20" s="21">
        <v>44456.63958333333</v>
      </c>
      <c r="AZ20" s="9">
        <f>(AY20-AX20)</f>
        <v>2.8381944444408873</v>
      </c>
      <c r="BA20" s="9">
        <v>275.28258333333332</v>
      </c>
      <c r="BB20">
        <v>555.31299999999999</v>
      </c>
      <c r="BC20">
        <v>8.7010000000000005</v>
      </c>
      <c r="BD20" s="14">
        <f t="shared" si="10"/>
        <v>0.20849876193947961</v>
      </c>
      <c r="BE20" s="41">
        <f t="shared" si="40"/>
        <v>14.20224066742642</v>
      </c>
      <c r="BF20" s="21">
        <v>44456.654861111114</v>
      </c>
      <c r="BG20" s="21">
        <v>44459.820138888892</v>
      </c>
      <c r="BH20" s="9">
        <f t="shared" si="41"/>
        <v>3.1652777777781012</v>
      </c>
      <c r="BI20" s="9">
        <v>274.02612499999998</v>
      </c>
      <c r="BJ20">
        <v>605.71</v>
      </c>
      <c r="BK20">
        <v>1.9690000000000001</v>
      </c>
      <c r="BL20" s="14">
        <f t="shared" si="11"/>
        <v>0.20485542352641942</v>
      </c>
      <c r="BM20" s="41">
        <f t="shared" si="42"/>
        <v>15.562183673891919</v>
      </c>
      <c r="BN20" s="21">
        <v>44459.831250000003</v>
      </c>
      <c r="BO20" s="21">
        <v>44461.508333333331</v>
      </c>
      <c r="BP20" s="9">
        <f>(BO20-BN20)</f>
        <v>1.6770833333284827</v>
      </c>
      <c r="BQ20" s="9">
        <v>276.14041666666662</v>
      </c>
      <c r="BR20">
        <v>342.40199999999999</v>
      </c>
      <c r="BS20">
        <v>4.4980000000000002</v>
      </c>
      <c r="BT20" s="14">
        <f t="shared" si="13"/>
        <v>0.21688933377168138</v>
      </c>
      <c r="BU20" s="41">
        <f t="shared" si="43"/>
        <v>8.7297956842849267</v>
      </c>
      <c r="BV20" s="21">
        <v>44461.679861111108</v>
      </c>
      <c r="BW20" s="21">
        <v>44466.57916666667</v>
      </c>
      <c r="BX20" s="9">
        <f>(BW20-BV20)</f>
        <v>4.8993055555620231</v>
      </c>
      <c r="BY20" s="9">
        <v>276.28674999999998</v>
      </c>
      <c r="BZ20">
        <v>615.32100000000003</v>
      </c>
      <c r="CA20">
        <v>5.5190000000000001</v>
      </c>
      <c r="CB20" s="14">
        <f t="shared" si="14"/>
        <v>0.13335020085373034</v>
      </c>
      <c r="CC20" s="41">
        <f t="shared" si="45"/>
        <v>15.679761117071823</v>
      </c>
      <c r="CD20" s="21">
        <v>44466.62777777778</v>
      </c>
      <c r="CE20" s="21">
        <v>44473.591666666667</v>
      </c>
      <c r="CF20" s="9">
        <f>(CE20-CD20)</f>
        <v>6.9638888888875954</v>
      </c>
      <c r="CG20" s="9">
        <v>276.3075833333333</v>
      </c>
      <c r="CH20">
        <v>786.97</v>
      </c>
      <c r="CI20">
        <v>3.5059999999999998</v>
      </c>
      <c r="CJ20" s="14">
        <f t="shared" si="16"/>
        <v>0.11997756960327177</v>
      </c>
      <c r="CK20" s="41">
        <f t="shared" si="46"/>
        <v>20.052251133023098</v>
      </c>
      <c r="CL20" s="21">
        <v>44473.633333333331</v>
      </c>
      <c r="CM20" s="21">
        <v>44477.672222222223</v>
      </c>
      <c r="CN20" s="9">
        <f>(CM20-CL20)</f>
        <v>4.038888888891961</v>
      </c>
      <c r="CO20" s="9">
        <v>276.45387499999998</v>
      </c>
      <c r="CP20">
        <v>447.83600000000001</v>
      </c>
      <c r="CQ20">
        <v>0.80200000000000005</v>
      </c>
      <c r="CR20" s="14">
        <f t="shared" si="17"/>
        <v>0.11765785737910442</v>
      </c>
      <c r="CS20" s="41">
        <f t="shared" si="48"/>
        <v>11.404968308623197</v>
      </c>
      <c r="CT20" s="21">
        <v>44477.722222222219</v>
      </c>
      <c r="CU20" s="21">
        <v>44483.690972222219</v>
      </c>
      <c r="CV20" s="9">
        <f>(CU20-CT20)</f>
        <v>5.96875</v>
      </c>
      <c r="CW20" s="9">
        <v>277.06033333333329</v>
      </c>
      <c r="CX20">
        <v>711.23699999999997</v>
      </c>
      <c r="CY20">
        <v>0.80500000000000005</v>
      </c>
      <c r="CZ20" s="14">
        <f t="shared" si="19"/>
        <v>0.12616622851082734</v>
      </c>
      <c r="DA20" s="41">
        <f t="shared" si="49"/>
        <v>18.073312234176019</v>
      </c>
      <c r="DB20" s="21">
        <v>44483.71875</v>
      </c>
      <c r="DC20" s="21">
        <v>44491.630555555559</v>
      </c>
      <c r="DD20" s="9">
        <f>(DC20-DB20)</f>
        <v>7.9118055555591127</v>
      </c>
      <c r="DE20" s="9">
        <v>277.24849999999998</v>
      </c>
      <c r="DF20">
        <v>1059.451</v>
      </c>
      <c r="DG20">
        <v>0.55700000000000005</v>
      </c>
      <c r="DH20" s="14">
        <f t="shared" si="20"/>
        <v>0.14168457948760019</v>
      </c>
      <c r="DI20" s="41">
        <f t="shared" si="51"/>
        <v>26.903540235049242</v>
      </c>
      <c r="DJ20" s="21">
        <v>44491.650694444441</v>
      </c>
      <c r="DK20" s="21">
        <v>44498.668055555558</v>
      </c>
      <c r="DL20" s="9">
        <f>(DK20-DJ20)</f>
        <v>7.0173611111167702</v>
      </c>
      <c r="DM20" s="9">
        <v>276.97687499999995</v>
      </c>
      <c r="DN20">
        <v>4218.1139999999996</v>
      </c>
      <c r="DO20">
        <v>0.46800000000000003</v>
      </c>
      <c r="DP20" s="14">
        <f t="shared" si="22"/>
        <v>0.63663058172363884</v>
      </c>
      <c r="DQ20" s="41">
        <f t="shared" si="52"/>
        <v>107.21920047204264</v>
      </c>
      <c r="DR20" s="21">
        <v>44498.686111111114</v>
      </c>
      <c r="DS20" s="21">
        <v>44505.631249999999</v>
      </c>
      <c r="DT20" s="9">
        <f t="shared" si="53"/>
        <v>6.945138888884685</v>
      </c>
      <c r="DU20" s="9">
        <v>276.60066666666665</v>
      </c>
      <c r="DV20">
        <v>4687.0720000000001</v>
      </c>
      <c r="DW20">
        <v>0.32500000000000001</v>
      </c>
      <c r="DX20" s="14">
        <f t="shared" si="23"/>
        <v>0.71573785595364059</v>
      </c>
      <c r="DY20" s="41">
        <f t="shared" si="54"/>
        <v>119.30157162313378</v>
      </c>
      <c r="DZ20" s="21">
        <v>44505.647222222222</v>
      </c>
      <c r="EA20" s="21">
        <v>44512.623611111114</v>
      </c>
      <c r="EB20" s="9">
        <f>(EA20-DZ20)</f>
        <v>6.976388888891961</v>
      </c>
      <c r="EC20" s="9">
        <v>277.08091666666667</v>
      </c>
      <c r="ED20">
        <v>6407.0550000000003</v>
      </c>
      <c r="EE20">
        <v>0.309</v>
      </c>
      <c r="EF20" s="14">
        <f t="shared" si="25"/>
        <v>0.97231654412547386</v>
      </c>
      <c r="EG20" s="41">
        <f t="shared" si="55"/>
        <v>162.79820003814686</v>
      </c>
      <c r="EH20" s="21">
        <v>44512.676388888889</v>
      </c>
      <c r="EI20" s="21">
        <v>44521.7</v>
      </c>
      <c r="EJ20" s="9">
        <f t="shared" si="56"/>
        <v>9.023611111108039</v>
      </c>
      <c r="EK20" s="9">
        <v>276.87229166666663</v>
      </c>
      <c r="EL20">
        <v>5435.2830000000004</v>
      </c>
      <c r="EM20">
        <v>0.43</v>
      </c>
      <c r="EN20" s="14">
        <f t="shared" si="26"/>
        <v>0.63818826858976252</v>
      </c>
      <c r="EO20" s="41">
        <f t="shared" si="57"/>
        <v>138.2103060342092</v>
      </c>
      <c r="EP20" s="21">
        <v>44521.732638888891</v>
      </c>
      <c r="EQ20" s="21">
        <v>44530.616666666669</v>
      </c>
      <c r="ER20" s="9">
        <f>(EQ20-EP20)</f>
        <v>8.8840277777781012</v>
      </c>
      <c r="ES20" s="9">
        <v>276.64249999999998</v>
      </c>
      <c r="ET20">
        <v>3933.819</v>
      </c>
      <c r="EU20">
        <v>0.68200000000000005</v>
      </c>
      <c r="EV20" s="14">
        <f t="shared" si="28"/>
        <v>0.4695394489512581</v>
      </c>
      <c r="EW20" s="41">
        <f t="shared" si="58"/>
        <v>100.11363617389439</v>
      </c>
      <c r="EX20" s="21">
        <v>44530.72152777778</v>
      </c>
      <c r="EY20" s="21">
        <v>44539.647222222222</v>
      </c>
      <c r="EZ20" s="9">
        <f>(EY20-EX20)</f>
        <v>8.9256944444423425</v>
      </c>
      <c r="FA20" s="9">
        <v>276.01466666666664</v>
      </c>
      <c r="FB20">
        <v>2844.7759999999998</v>
      </c>
      <c r="FC20">
        <v>0.36099999999999999</v>
      </c>
      <c r="FD20" s="14">
        <f t="shared" si="30"/>
        <v>0.33873527149189908</v>
      </c>
      <c r="FE20" s="41">
        <f t="shared" si="59"/>
        <v>72.562740741405889</v>
      </c>
      <c r="FF20" s="21">
        <v>44539.674305555556</v>
      </c>
      <c r="FG20" s="21">
        <v>44543.579861111109</v>
      </c>
      <c r="FH20" s="9">
        <f>(FG20-FF20)</f>
        <v>3.9055555555532919</v>
      </c>
      <c r="FI20" s="9">
        <v>276.78899999999999</v>
      </c>
      <c r="FJ20">
        <v>1444.354</v>
      </c>
      <c r="FK20">
        <v>0.14899999999999999</v>
      </c>
      <c r="FL20" s="14">
        <f t="shared" si="31"/>
        <v>0.39194806318365805</v>
      </c>
      <c r="FM20" s="36">
        <f t="shared" si="61"/>
        <v>36.738598455726923</v>
      </c>
      <c r="FN20" s="7"/>
      <c r="FO20" s="9"/>
      <c r="FR20" s="14"/>
      <c r="FS20" s="7"/>
      <c r="FT20" s="7"/>
      <c r="FU20" s="9"/>
      <c r="FX20" s="14"/>
      <c r="FY20" s="7"/>
      <c r="FZ20" s="7"/>
      <c r="GA20" s="9"/>
      <c r="GD20" s="14"/>
      <c r="GE20" s="7"/>
      <c r="GF20" s="7"/>
      <c r="GG20" s="9"/>
      <c r="GJ20" s="14"/>
      <c r="GK20" s="7"/>
      <c r="GL20" s="7"/>
      <c r="GM20" s="9"/>
      <c r="GP20" s="14"/>
      <c r="GQ20" s="7"/>
      <c r="GR20" s="7"/>
      <c r="GS20" s="9"/>
      <c r="GV20" s="14"/>
      <c r="GW20" s="7"/>
      <c r="GX20" s="7"/>
      <c r="GY20" s="9"/>
      <c r="HB20" s="14"/>
      <c r="HC20" s="7"/>
      <c r="HD20" s="7"/>
      <c r="HE20" s="9"/>
      <c r="HH20" s="14"/>
      <c r="HI20" s="7"/>
      <c r="HJ20" s="7"/>
      <c r="HK20" s="9"/>
      <c r="HN20" s="14"/>
      <c r="HO20" s="7"/>
      <c r="HP20" s="7"/>
      <c r="HQ20" s="9"/>
      <c r="HT20" s="14"/>
      <c r="HU20" s="7"/>
      <c r="HV20" s="7"/>
      <c r="HW20" s="9"/>
      <c r="HZ20" s="14"/>
      <c r="IA20" s="7"/>
      <c r="IB20" s="7"/>
      <c r="IC20" s="9"/>
      <c r="IF20" s="14"/>
      <c r="IG20" s="7"/>
      <c r="IH20" s="7"/>
      <c r="II20" s="9"/>
      <c r="IL20" s="14"/>
    </row>
    <row r="21" spans="1:246" ht="19" x14ac:dyDescent="0.25">
      <c r="A21" s="29" t="s">
        <v>38</v>
      </c>
      <c r="B21">
        <v>473.17599999999999</v>
      </c>
      <c r="C21">
        <f>Vol_soil_calc!L20</f>
        <v>26.531620097196214</v>
      </c>
      <c r="D21" s="28">
        <v>8.2057366080959995E-2</v>
      </c>
      <c r="E21">
        <v>275.14999999999998</v>
      </c>
      <c r="F21">
        <f t="shared" si="0"/>
        <v>0.44664437990280381</v>
      </c>
      <c r="G21">
        <v>2.8620000000000001</v>
      </c>
      <c r="H21">
        <v>30.202000000000002</v>
      </c>
      <c r="I21" s="9">
        <f t="shared" si="1"/>
        <v>7.8203003625064733</v>
      </c>
      <c r="J21" s="6">
        <v>44447.912499999999</v>
      </c>
      <c r="K21" s="7">
        <v>44447.949305555558</v>
      </c>
      <c r="L21" s="9">
        <f t="shared" si="62"/>
        <v>3.680555555911269E-2</v>
      </c>
      <c r="M21" s="9">
        <v>275.14999999999998</v>
      </c>
      <c r="N21" s="29">
        <v>353.16500000000002</v>
      </c>
      <c r="O21" s="29">
        <v>47.594000000000001</v>
      </c>
      <c r="P21" s="14">
        <f t="shared" si="2"/>
        <v>12.13628128606789</v>
      </c>
      <c r="Q21" s="41">
        <f t="shared" si="33"/>
        <v>10.720381803729392</v>
      </c>
      <c r="R21" s="6"/>
      <c r="S21" s="30">
        <v>0.52430555555555558</v>
      </c>
      <c r="T21" s="9">
        <f t="shared" ref="T21:T26" si="63">(S21-R21)</f>
        <v>0.52430555555555558</v>
      </c>
      <c r="U21" s="9">
        <v>275.14999999999998</v>
      </c>
      <c r="V21">
        <v>2035.36</v>
      </c>
      <c r="W21">
        <v>354.65</v>
      </c>
      <c r="X21" s="14">
        <f t="shared" si="4"/>
        <v>4.9099619907596939</v>
      </c>
      <c r="Y21" s="36">
        <f t="shared" si="34"/>
        <v>61.783688383726158</v>
      </c>
      <c r="Z21" s="7">
        <v>44448.589583333334</v>
      </c>
      <c r="AA21" s="7">
        <v>44449.693055555559</v>
      </c>
      <c r="AB21" s="9">
        <f t="shared" si="35"/>
        <v>1.1034722222248092</v>
      </c>
      <c r="AC21">
        <v>278.97624999999999</v>
      </c>
      <c r="AD21">
        <v>741.12</v>
      </c>
      <c r="AE21">
        <v>25.024000000000001</v>
      </c>
      <c r="AF21" s="14">
        <f t="shared" si="5"/>
        <v>0.83782008533841223</v>
      </c>
      <c r="AG21" s="41">
        <f t="shared" si="36"/>
        <v>22.188268593430969</v>
      </c>
      <c r="AH21" s="12">
        <v>44449.725694444445</v>
      </c>
      <c r="AI21" s="21">
        <v>44451.855555555558</v>
      </c>
      <c r="AJ21" s="9">
        <f t="shared" ref="AJ21:AJ26" si="64">(AI21-AH21)</f>
        <v>2.1298611111124046</v>
      </c>
      <c r="AK21" s="9">
        <v>275.30391666666662</v>
      </c>
      <c r="AL21">
        <v>676.37800000000004</v>
      </c>
      <c r="AM21">
        <v>2.96</v>
      </c>
      <c r="AN21" s="14">
        <f t="shared" si="7"/>
        <v>0.4014363274807437</v>
      </c>
      <c r="AO21" s="41">
        <f t="shared" si="37"/>
        <v>20.520086939736476</v>
      </c>
      <c r="AP21" s="21">
        <v>44451.90347222222</v>
      </c>
      <c r="AQ21" s="21">
        <v>44453.760416666664</v>
      </c>
      <c r="AR21" s="9">
        <f t="shared" si="38"/>
        <v>1.8569444444437977</v>
      </c>
      <c r="AS21" s="9">
        <v>275.34574999999995</v>
      </c>
      <c r="AT21">
        <v>437.911</v>
      </c>
      <c r="AU21">
        <v>0.05</v>
      </c>
      <c r="AV21" s="14">
        <f t="shared" si="8"/>
        <v>0.29805707676934706</v>
      </c>
      <c r="AW21" s="41">
        <f t="shared" si="39"/>
        <v>13.283410388015941</v>
      </c>
      <c r="AX21" s="21">
        <v>44453.801388888889</v>
      </c>
      <c r="AY21" s="21">
        <v>44456.631249999999</v>
      </c>
      <c r="AZ21" s="9">
        <f t="shared" ref="AZ21:AZ26" si="65">(AY21-AX21)</f>
        <v>2.8298611111094942</v>
      </c>
      <c r="BA21" s="9">
        <v>275.28258333333332</v>
      </c>
      <c r="BB21">
        <v>533.07100000000003</v>
      </c>
      <c r="BC21">
        <v>1.45</v>
      </c>
      <c r="BD21" s="14">
        <f t="shared" si="10"/>
        <v>0.23813984805210639</v>
      </c>
      <c r="BE21" s="41">
        <f t="shared" si="40"/>
        <v>16.173664680196318</v>
      </c>
      <c r="BF21" s="21">
        <v>44456.654861111114</v>
      </c>
      <c r="BG21" s="21">
        <v>44459.697916666664</v>
      </c>
      <c r="BH21" s="9">
        <f t="shared" si="41"/>
        <v>3.0430555555503815</v>
      </c>
      <c r="BI21" s="9">
        <v>274.02612499999998</v>
      </c>
      <c r="BJ21">
        <v>246.73599999999999</v>
      </c>
      <c r="BK21">
        <v>0.443</v>
      </c>
      <c r="BL21" s="14">
        <f t="shared" si="11"/>
        <v>0.10297256734705437</v>
      </c>
      <c r="BM21" s="41">
        <f t="shared" si="42"/>
        <v>7.5204298352337506</v>
      </c>
      <c r="BN21" s="21">
        <v>44459.831250000003</v>
      </c>
      <c r="BO21" s="21">
        <v>44461.669444444444</v>
      </c>
      <c r="BP21" s="9">
        <f t="shared" ref="BP21:BP26" si="66">(BO21-BN21)</f>
        <v>1.8381944444408873</v>
      </c>
      <c r="BQ21" s="9">
        <v>276.14041666666662</v>
      </c>
      <c r="BR21">
        <v>263.5</v>
      </c>
      <c r="BS21">
        <v>0.55500000000000005</v>
      </c>
      <c r="BT21" s="14">
        <f t="shared" si="13"/>
        <v>0.18065503328537422</v>
      </c>
      <c r="BU21" s="41">
        <f t="shared" si="43"/>
        <v>7.9698978850910036</v>
      </c>
      <c r="BV21" s="21">
        <v>44461.679861111108</v>
      </c>
      <c r="BW21" s="21">
        <v>44466.563194444447</v>
      </c>
      <c r="BX21" s="9">
        <f t="shared" ref="BX21:BX26" si="67">(BW21-BV21)</f>
        <v>4.883333333338669</v>
      </c>
      <c r="BY21" s="9">
        <v>276.28674999999998</v>
      </c>
      <c r="BZ21">
        <v>515.16200000000003</v>
      </c>
      <c r="CA21">
        <v>0.78100000000000003</v>
      </c>
      <c r="CB21" s="14">
        <f t="shared" si="14"/>
        <v>0.13287958540077116</v>
      </c>
      <c r="CC21" s="41">
        <f t="shared" si="45"/>
        <v>15.573487408987393</v>
      </c>
      <c r="CD21" s="21">
        <v>44466.62777777778</v>
      </c>
      <c r="CE21" s="21">
        <v>44473.59652777778</v>
      </c>
      <c r="CF21" s="9">
        <f t="shared" ref="CF21:CF26" si="68">(CE21-CD21)</f>
        <v>6.96875</v>
      </c>
      <c r="CG21" s="9">
        <v>276.3075833333333</v>
      </c>
      <c r="CH21">
        <v>595.01900000000001</v>
      </c>
      <c r="CI21">
        <v>0.64300000000000002</v>
      </c>
      <c r="CJ21" s="14">
        <f t="shared" si="16"/>
        <v>0.10754098652781537</v>
      </c>
      <c r="CK21" s="41">
        <f t="shared" si="46"/>
        <v>17.986229996777119</v>
      </c>
      <c r="CL21" s="21">
        <v>44473.633333333331</v>
      </c>
      <c r="CM21" s="21">
        <v>44477.681944444441</v>
      </c>
      <c r="CN21" s="9">
        <f t="shared" ref="CN21:CN26" si="69">(CM21-CL21)</f>
        <v>4.0486111111094942</v>
      </c>
      <c r="CO21" s="9">
        <v>276.45387499999998</v>
      </c>
      <c r="CP21">
        <v>376.62599999999998</v>
      </c>
      <c r="CQ21">
        <v>0.28599999999999998</v>
      </c>
      <c r="CR21" s="14">
        <f t="shared" si="17"/>
        <v>0.11710418744078835</v>
      </c>
      <c r="CS21" s="41">
        <f t="shared" si="48"/>
        <v>11.37862354632539</v>
      </c>
      <c r="CT21" s="21">
        <v>44477.722222222219</v>
      </c>
      <c r="CU21" s="21">
        <v>44483.600694444445</v>
      </c>
      <c r="CV21" s="9">
        <f t="shared" ref="CV21:CV26" si="70">(CU21-CT21)</f>
        <v>5.8784722222262644</v>
      </c>
      <c r="CW21" s="9">
        <v>277.06033333333329</v>
      </c>
      <c r="CX21">
        <v>412.43799999999999</v>
      </c>
      <c r="CY21">
        <v>0.34599999999999997</v>
      </c>
      <c r="CZ21" s="14">
        <f t="shared" si="19"/>
        <v>8.8127352028207623E-2</v>
      </c>
      <c r="DA21" s="41">
        <f t="shared" si="49"/>
        <v>12.433300581988174</v>
      </c>
      <c r="DB21" s="21">
        <v>44483.71875</v>
      </c>
      <c r="DC21" s="21">
        <v>44491.626388888886</v>
      </c>
      <c r="DD21" s="9">
        <f t="shared" ref="DD21:DD26" si="71">(DC21-DB21)</f>
        <v>7.9076388888861402</v>
      </c>
      <c r="DE21" s="9">
        <v>277.24849999999998</v>
      </c>
      <c r="DF21">
        <v>493.73599999999999</v>
      </c>
      <c r="DG21">
        <v>0.35799999999999998</v>
      </c>
      <c r="DH21" s="14">
        <f t="shared" si="20"/>
        <v>7.8373570421635508E-2</v>
      </c>
      <c r="DI21" s="41">
        <f t="shared" si="51"/>
        <v>14.873997439847553</v>
      </c>
      <c r="DJ21" s="21">
        <v>44491.650694444441</v>
      </c>
      <c r="DK21" s="21">
        <v>44498.67291666667</v>
      </c>
      <c r="DL21" s="9">
        <f t="shared" ref="DL21:DL26" si="72">(DK21-DJ21)</f>
        <v>7.0222222222291748</v>
      </c>
      <c r="DM21" s="9">
        <v>276.97687499999995</v>
      </c>
      <c r="DN21">
        <v>454.04399999999998</v>
      </c>
      <c r="DO21">
        <v>0.27900000000000003</v>
      </c>
      <c r="DP21" s="14">
        <f t="shared" si="22"/>
        <v>8.1240153016754343E-2</v>
      </c>
      <c r="DQ21" s="41">
        <f t="shared" si="52"/>
        <v>13.691673788437221</v>
      </c>
      <c r="DR21" s="21">
        <v>44498.686111111114</v>
      </c>
      <c r="DS21" s="21">
        <v>44505.62222222222</v>
      </c>
      <c r="DT21" s="9">
        <f t="shared" si="53"/>
        <v>6.9361111111065838</v>
      </c>
      <c r="DU21" s="9">
        <v>276.60066666666665</v>
      </c>
      <c r="DV21">
        <v>564.43600000000004</v>
      </c>
      <c r="DW21">
        <v>0.30199999999999999</v>
      </c>
      <c r="DX21" s="14">
        <f t="shared" si="23"/>
        <v>0.10238499488729062</v>
      </c>
      <c r="DY21" s="41">
        <f t="shared" si="54"/>
        <v>17.043688815559854</v>
      </c>
      <c r="DZ21" s="21">
        <v>44505.647222222222</v>
      </c>
      <c r="EA21" s="21">
        <v>44512.666666666664</v>
      </c>
      <c r="EB21" s="9">
        <f t="shared" ref="EB21:EB26" si="73">(EA21-DZ21)</f>
        <v>7.0194444444423425</v>
      </c>
      <c r="EC21" s="9">
        <v>277.08091666666667</v>
      </c>
      <c r="ED21">
        <v>712.53300000000002</v>
      </c>
      <c r="EE21">
        <v>0.22700000000000001</v>
      </c>
      <c r="EF21" s="14">
        <f t="shared" si="25"/>
        <v>0.12749304611142642</v>
      </c>
      <c r="EG21" s="41">
        <f t="shared" si="55"/>
        <v>21.478328501565205</v>
      </c>
      <c r="EH21" s="21">
        <v>44512.676388888889</v>
      </c>
      <c r="EI21" s="21">
        <v>44521.672222222223</v>
      </c>
      <c r="EJ21" s="9">
        <f t="shared" si="56"/>
        <v>8.9958333333343035</v>
      </c>
      <c r="EK21" s="9">
        <v>276.87229166666663</v>
      </c>
      <c r="EL21">
        <v>1545.3140000000001</v>
      </c>
      <c r="EM21">
        <v>0.21199999999999999</v>
      </c>
      <c r="EN21" s="14">
        <f t="shared" si="26"/>
        <v>0.21591693901684927</v>
      </c>
      <c r="EO21" s="41">
        <f t="shared" si="57"/>
        <v>46.616467133742788</v>
      </c>
      <c r="EP21" s="21">
        <v>44521.732638888891</v>
      </c>
      <c r="EQ21" s="21">
        <v>44530.61041666667</v>
      </c>
      <c r="ER21" s="9">
        <f t="shared" ref="ER21:ER26" si="74">(EQ21-EP21)</f>
        <v>8.8777777777795563</v>
      </c>
      <c r="ES21" s="9">
        <v>276.64249999999998</v>
      </c>
      <c r="ET21">
        <v>2835.8420000000001</v>
      </c>
      <c r="EU21">
        <v>0.219</v>
      </c>
      <c r="EV21" s="14">
        <f t="shared" si="28"/>
        <v>0.4018368228193705</v>
      </c>
      <c r="EW21" s="41">
        <f t="shared" si="58"/>
        <v>85.618032382064371</v>
      </c>
      <c r="EX21" s="21">
        <v>44530.72152777778</v>
      </c>
      <c r="EY21" s="21">
        <v>44539.629861111112</v>
      </c>
      <c r="EZ21" s="9">
        <f t="shared" ref="EZ21:EZ26" si="75">(EY21-EX21)</f>
        <v>8.9083333333328483</v>
      </c>
      <c r="FA21" s="9">
        <v>276.01466666666664</v>
      </c>
      <c r="FB21">
        <v>4099.8469999999998</v>
      </c>
      <c r="FC21">
        <v>0.24199999999999999</v>
      </c>
      <c r="FD21" s="14">
        <f t="shared" si="30"/>
        <v>0.58026971169975172</v>
      </c>
      <c r="FE21" s="41">
        <f t="shared" si="59"/>
        <v>124.06166436140016</v>
      </c>
      <c r="FF21" s="21">
        <v>44539.674305555556</v>
      </c>
      <c r="FG21" s="21">
        <v>44543.563888888886</v>
      </c>
      <c r="FH21" s="9">
        <f t="shared" si="60"/>
        <v>3.8895833333299379</v>
      </c>
      <c r="FI21" s="9">
        <v>276.78899999999999</v>
      </c>
      <c r="FJ21">
        <v>1699.712</v>
      </c>
      <c r="FK21">
        <v>8.2000000000000003E-2</v>
      </c>
      <c r="FL21" s="14">
        <f t="shared" si="31"/>
        <v>0.54943244901900701</v>
      </c>
      <c r="FM21" s="36">
        <f t="shared" si="61"/>
        <v>51.289519115879528</v>
      </c>
      <c r="FN21" s="7"/>
      <c r="FO21" s="9"/>
      <c r="FR21" s="14"/>
      <c r="FS21" s="7"/>
      <c r="FT21" s="7"/>
      <c r="FU21" s="9"/>
      <c r="FX21" s="14"/>
      <c r="FY21" s="7"/>
      <c r="FZ21" s="7"/>
      <c r="GA21" s="9"/>
      <c r="GD21" s="14"/>
      <c r="GE21" s="7"/>
      <c r="GF21" s="7"/>
      <c r="GG21" s="9"/>
      <c r="GJ21" s="14"/>
      <c r="GK21" s="7"/>
      <c r="GL21" s="7"/>
      <c r="GM21" s="9"/>
      <c r="GP21" s="14"/>
      <c r="GQ21" s="7"/>
      <c r="GR21" s="7"/>
      <c r="GS21" s="9"/>
      <c r="GV21" s="14"/>
      <c r="GW21" s="7"/>
      <c r="GX21" s="7"/>
      <c r="GY21" s="9"/>
      <c r="HB21" s="14"/>
      <c r="HC21" s="7"/>
      <c r="HD21" s="7"/>
      <c r="HE21" s="9"/>
      <c r="HH21" s="14"/>
      <c r="HI21" s="7"/>
      <c r="HJ21" s="7"/>
      <c r="HK21" s="9"/>
      <c r="HN21" s="14"/>
      <c r="HO21" s="7"/>
      <c r="HP21" s="7"/>
      <c r="HQ21" s="9"/>
      <c r="HT21" s="14"/>
      <c r="HU21" s="7"/>
      <c r="HV21" s="7"/>
      <c r="HW21" s="9"/>
      <c r="HZ21" s="14"/>
      <c r="IA21" s="7"/>
      <c r="IB21" s="7"/>
      <c r="IC21" s="9"/>
      <c r="IF21" s="14"/>
      <c r="IG21" s="7"/>
      <c r="IH21" s="7"/>
      <c r="II21" s="9"/>
      <c r="IL21" s="14"/>
    </row>
    <row r="22" spans="1:246" ht="19" x14ac:dyDescent="0.25">
      <c r="A22" s="29" t="s">
        <v>39</v>
      </c>
      <c r="B22">
        <v>473.17599999999999</v>
      </c>
      <c r="C22">
        <f>Vol_soil_calc!L21</f>
        <v>28.942040915296371</v>
      </c>
      <c r="D22" s="28">
        <v>8.2057366080959995E-2</v>
      </c>
      <c r="E22">
        <v>275.14999999999998</v>
      </c>
      <c r="F22">
        <f t="shared" si="0"/>
        <v>0.44423395908470359</v>
      </c>
      <c r="G22">
        <v>3.3460000000000001</v>
      </c>
      <c r="H22">
        <v>32.445999999999998</v>
      </c>
      <c r="I22" s="9">
        <f t="shared" si="1"/>
        <v>7.4657156005522314</v>
      </c>
      <c r="J22" s="6">
        <v>44447.912499999999</v>
      </c>
      <c r="K22" s="7">
        <v>44447.95416666667</v>
      </c>
      <c r="L22" s="9">
        <f t="shared" si="62"/>
        <v>4.1666666671517305E-2</v>
      </c>
      <c r="M22" s="9">
        <v>275.14999999999998</v>
      </c>
      <c r="N22" s="29">
        <v>373.29300000000001</v>
      </c>
      <c r="O22" s="29">
        <v>58.204000000000001</v>
      </c>
      <c r="P22" s="14">
        <f t="shared" si="2"/>
        <v>11.805498087659366</v>
      </c>
      <c r="Q22" s="41">
        <f t="shared" si="33"/>
        <v>11.805498089033707</v>
      </c>
      <c r="R22" s="6"/>
      <c r="S22" s="30">
        <v>0.52916666666666667</v>
      </c>
      <c r="T22" s="9">
        <f t="shared" si="63"/>
        <v>0.52916666666666667</v>
      </c>
      <c r="U22" s="9">
        <v>275.14999999999998</v>
      </c>
      <c r="V22">
        <v>1947.4069999999999</v>
      </c>
      <c r="W22">
        <v>372.07100000000003</v>
      </c>
      <c r="X22" s="14">
        <f t="shared" si="4"/>
        <v>4.8493940463332104</v>
      </c>
      <c r="Y22" s="36">
        <f t="shared" si="34"/>
        <v>61.587304388431775</v>
      </c>
      <c r="Z22" s="7">
        <v>44448.589583333334</v>
      </c>
      <c r="AA22" s="7">
        <v>44449.696527777778</v>
      </c>
      <c r="AB22" s="9">
        <f t="shared" si="35"/>
        <v>1.1069444444437977</v>
      </c>
      <c r="AC22">
        <v>278.97624999999999</v>
      </c>
      <c r="AD22">
        <v>986.21</v>
      </c>
      <c r="AE22">
        <v>73.722999999999999</v>
      </c>
      <c r="AF22" s="14">
        <f t="shared" si="5"/>
        <v>1.1578947620143616</v>
      </c>
      <c r="AG22" s="41">
        <f t="shared" si="36"/>
        <v>30.7614041774969</v>
      </c>
      <c r="AH22" s="7">
        <v>44449.725694444445</v>
      </c>
      <c r="AI22" s="21">
        <v>44451.859722222223</v>
      </c>
      <c r="AJ22" s="9">
        <f t="shared" si="64"/>
        <v>2.1340277777781012</v>
      </c>
      <c r="AK22" s="9">
        <v>275.30391666666662</v>
      </c>
      <c r="AL22">
        <v>688.50400000000002</v>
      </c>
      <c r="AM22">
        <v>7.5839999999999996</v>
      </c>
      <c r="AN22" s="14">
        <f t="shared" si="7"/>
        <v>0.42490002252987541</v>
      </c>
      <c r="AO22" s="41">
        <f t="shared" si="37"/>
        <v>21.761962820575082</v>
      </c>
      <c r="AP22" s="21">
        <v>44451.895138888889</v>
      </c>
      <c r="AQ22" s="21">
        <v>44453.76458333333</v>
      </c>
      <c r="AR22" s="9">
        <f t="shared" si="38"/>
        <v>1.8694444444408873</v>
      </c>
      <c r="AS22" s="9">
        <v>275.34574999999995</v>
      </c>
      <c r="AT22">
        <v>525.06899999999996</v>
      </c>
      <c r="AU22">
        <v>0.02</v>
      </c>
      <c r="AV22" s="14">
        <f t="shared" si="8"/>
        <v>0.36984366318703937</v>
      </c>
      <c r="AW22" s="41">
        <f t="shared" si="39"/>
        <v>16.593652354960259</v>
      </c>
      <c r="AX22" s="21">
        <v>44453.801388888889</v>
      </c>
      <c r="AY22" s="21">
        <v>44456.613194444442</v>
      </c>
      <c r="AZ22" s="9">
        <f t="shared" si="65"/>
        <v>2.8118055555532919</v>
      </c>
      <c r="BA22" s="9">
        <v>275.28258333333332</v>
      </c>
      <c r="BB22">
        <v>547.58900000000006</v>
      </c>
      <c r="BC22">
        <v>4.5679999999999996</v>
      </c>
      <c r="BD22" s="14">
        <f t="shared" si="10"/>
        <v>0.25649767930856604</v>
      </c>
      <c r="BE22" s="41">
        <f t="shared" si="40"/>
        <v>17.309318391992463</v>
      </c>
      <c r="BF22" s="21">
        <v>44456.654861111114</v>
      </c>
      <c r="BG22" s="21">
        <v>44459.705555555556</v>
      </c>
      <c r="BH22" s="9">
        <f t="shared" si="41"/>
        <v>3.0506944444423425</v>
      </c>
      <c r="BI22" s="9">
        <v>274.02612499999998</v>
      </c>
      <c r="BJ22">
        <v>253.64</v>
      </c>
      <c r="BK22">
        <v>1.1839999999999999</v>
      </c>
      <c r="BL22" s="14">
        <f t="shared" si="11"/>
        <v>0.11000687013799736</v>
      </c>
      <c r="BM22" s="41">
        <f t="shared" si="42"/>
        <v>8.0543363419314904</v>
      </c>
      <c r="BN22" s="21">
        <v>44459.831250000003</v>
      </c>
      <c r="BO22" s="21">
        <v>44461.665972222225</v>
      </c>
      <c r="BP22" s="9">
        <f t="shared" si="66"/>
        <v>1.8347222222218988</v>
      </c>
      <c r="BQ22" s="9">
        <v>276.14041666666662</v>
      </c>
      <c r="BR22">
        <v>337.87</v>
      </c>
      <c r="BS22">
        <v>2.0270000000000001</v>
      </c>
      <c r="BT22" s="14">
        <f t="shared" si="13"/>
        <v>0.2417920845193971</v>
      </c>
      <c r="BU22" s="41">
        <f t="shared" si="43"/>
        <v>10.646911455002243</v>
      </c>
      <c r="BV22" s="21">
        <v>44461.679861111108</v>
      </c>
      <c r="BW22" s="21">
        <v>44466.55972222222</v>
      </c>
      <c r="BX22" s="9">
        <f t="shared" si="67"/>
        <v>4.8798611111124046</v>
      </c>
      <c r="BY22" s="9">
        <v>276.28674999999998</v>
      </c>
      <c r="BZ22">
        <v>558.98900000000003</v>
      </c>
      <c r="CA22">
        <v>2.36</v>
      </c>
      <c r="CB22" s="14">
        <f t="shared" si="14"/>
        <v>0.15032405664327567</v>
      </c>
      <c r="CC22" s="41">
        <f t="shared" si="45"/>
        <v>17.605452433876302</v>
      </c>
      <c r="CD22" s="21">
        <v>44466.62777777778</v>
      </c>
      <c r="CE22" s="21">
        <v>44473.599999999999</v>
      </c>
      <c r="CF22" s="9">
        <f t="shared" si="68"/>
        <v>6.9722222222189885</v>
      </c>
      <c r="CG22" s="9">
        <v>276.3075833333333</v>
      </c>
      <c r="CH22">
        <v>735.89800000000002</v>
      </c>
      <c r="CI22">
        <v>1.72</v>
      </c>
      <c r="CJ22" s="14">
        <f t="shared" si="16"/>
        <v>0.13849890572602766</v>
      </c>
      <c r="CK22" s="41">
        <f t="shared" si="46"/>
        <v>23.175483558144546</v>
      </c>
      <c r="CL22" s="21">
        <v>44473.633333333331</v>
      </c>
      <c r="CM22" s="21">
        <v>44477.677777777775</v>
      </c>
      <c r="CN22" s="9">
        <f t="shared" si="69"/>
        <v>4.0444444444437977</v>
      </c>
      <c r="CO22" s="9">
        <v>276.45387499999998</v>
      </c>
      <c r="CP22">
        <v>451.50099999999998</v>
      </c>
      <c r="CQ22">
        <v>0.63700000000000001</v>
      </c>
      <c r="CR22" s="14">
        <f t="shared" si="17"/>
        <v>0.14640971834679281</v>
      </c>
      <c r="CS22" s="41">
        <f t="shared" si="48"/>
        <v>14.211503327526415</v>
      </c>
      <c r="CT22" s="21">
        <v>44477.722222222219</v>
      </c>
      <c r="CU22" s="21">
        <v>44483.674305555556</v>
      </c>
      <c r="CV22" s="9">
        <f t="shared" si="70"/>
        <v>5.9520833333372138</v>
      </c>
      <c r="CW22" s="9">
        <v>277.06033333333329</v>
      </c>
      <c r="CX22">
        <v>499.89800000000002</v>
      </c>
      <c r="CY22">
        <v>0.77700000000000002</v>
      </c>
      <c r="CZ22" s="14">
        <f t="shared" si="19"/>
        <v>0.10990837539237047</v>
      </c>
      <c r="DA22" s="41">
        <f t="shared" si="49"/>
        <v>15.700411424810357</v>
      </c>
      <c r="DB22" s="21">
        <v>44483.71875</v>
      </c>
      <c r="DC22" s="21">
        <v>44491.607638888891</v>
      </c>
      <c r="DD22" s="9">
        <f t="shared" si="71"/>
        <v>7.8888888888905058</v>
      </c>
      <c r="DE22" s="9">
        <v>277.24849999999998</v>
      </c>
      <c r="DF22">
        <v>533.33699999999999</v>
      </c>
      <c r="DG22">
        <v>0.88600000000000001</v>
      </c>
      <c r="DH22" s="14">
        <f t="shared" si="20"/>
        <v>8.8411633323557892E-2</v>
      </c>
      <c r="DI22" s="41">
        <f t="shared" si="51"/>
        <v>16.739269242597057</v>
      </c>
      <c r="DJ22" s="21">
        <v>44491.650694444441</v>
      </c>
      <c r="DK22" s="21">
        <v>44498.664583333331</v>
      </c>
      <c r="DL22" s="9">
        <f t="shared" si="72"/>
        <v>7.0138888888905058</v>
      </c>
      <c r="DM22" s="9">
        <v>276.97687499999995</v>
      </c>
      <c r="DN22">
        <v>511.61399999999998</v>
      </c>
      <c r="DO22">
        <v>0.68899999999999995</v>
      </c>
      <c r="DP22" s="14">
        <f t="shared" si="22"/>
        <v>9.548447664223049E-2</v>
      </c>
      <c r="DQ22" s="41">
        <f t="shared" si="52"/>
        <v>16.073220234779171</v>
      </c>
      <c r="DR22" s="21">
        <v>44498.686111111114</v>
      </c>
      <c r="DS22" s="21">
        <v>44505.613194444442</v>
      </c>
      <c r="DT22" s="9">
        <f t="shared" si="53"/>
        <v>6.9270833333284827</v>
      </c>
      <c r="DU22" s="9">
        <v>276.60066666666665</v>
      </c>
      <c r="DV22">
        <v>611.07500000000005</v>
      </c>
      <c r="DW22">
        <v>0.66300000000000003</v>
      </c>
      <c r="DX22" s="14">
        <f t="shared" si="23"/>
        <v>0.11563348805787116</v>
      </c>
      <c r="DY22" s="41">
        <f t="shared" si="54"/>
        <v>19.224067389607619</v>
      </c>
      <c r="DZ22" s="21">
        <v>44505.647222222222</v>
      </c>
      <c r="EA22" s="21">
        <v>44512.663194444445</v>
      </c>
      <c r="EB22" s="9">
        <f t="shared" si="73"/>
        <v>7.015972222223354</v>
      </c>
      <c r="EC22" s="9">
        <v>277.08091666666667</v>
      </c>
      <c r="ED22">
        <v>885.25699999999995</v>
      </c>
      <c r="EE22">
        <v>0.61499999999999999</v>
      </c>
      <c r="EF22" s="14">
        <f t="shared" si="25"/>
        <v>0.16510781781235934</v>
      </c>
      <c r="EG22" s="41">
        <f t="shared" si="55"/>
        <v>27.801404722642257</v>
      </c>
      <c r="EH22" s="21">
        <v>44512.676388888889</v>
      </c>
      <c r="EI22" s="21">
        <v>44521.67083333333</v>
      </c>
      <c r="EJ22" s="9">
        <f t="shared" si="56"/>
        <v>8.9944444444408873</v>
      </c>
      <c r="EK22" s="9">
        <v>276.87229166666663</v>
      </c>
      <c r="EL22">
        <v>2044.6859999999999</v>
      </c>
      <c r="EM22">
        <v>0.79700000000000004</v>
      </c>
      <c r="EN22" s="14">
        <f t="shared" si="26"/>
        <v>0.29769087934387156</v>
      </c>
      <c r="EO22" s="41">
        <f t="shared" si="57"/>
        <v>64.261537821004993</v>
      </c>
      <c r="EP22" s="21">
        <v>44521.732638888891</v>
      </c>
      <c r="EQ22" s="21">
        <v>44530.706944444442</v>
      </c>
      <c r="ER22" s="9">
        <f t="shared" si="74"/>
        <v>8.9743055555518367</v>
      </c>
      <c r="ES22" s="9">
        <v>276.64249999999998</v>
      </c>
      <c r="ET22">
        <v>2575.08</v>
      </c>
      <c r="EU22">
        <v>0.9</v>
      </c>
      <c r="EV22" s="14">
        <f t="shared" si="28"/>
        <v>0.37606569410223262</v>
      </c>
      <c r="EW22" s="41">
        <f t="shared" si="58"/>
        <v>80.99828274801898</v>
      </c>
      <c r="EX22" s="21">
        <v>44530.72152777778</v>
      </c>
      <c r="EY22" s="21">
        <v>44539.664583333331</v>
      </c>
      <c r="EZ22" s="9">
        <f t="shared" si="75"/>
        <v>8.9430555555518367</v>
      </c>
      <c r="FA22" s="9">
        <v>276.01466666666664</v>
      </c>
      <c r="FB22">
        <v>3857.8580000000002</v>
      </c>
      <c r="FC22">
        <v>0.78800000000000003</v>
      </c>
      <c r="FD22" s="14">
        <f t="shared" si="30"/>
        <v>0.5666578299205165</v>
      </c>
      <c r="FE22" s="41">
        <f t="shared" si="59"/>
        <v>121.62365889522296</v>
      </c>
      <c r="FF22" s="21">
        <v>44539.674305555556</v>
      </c>
      <c r="FG22" s="21">
        <v>44543.550694444442</v>
      </c>
      <c r="FH22" s="9">
        <f t="shared" si="60"/>
        <v>3.8763888888861402</v>
      </c>
      <c r="FI22" s="9">
        <v>276.78899999999999</v>
      </c>
      <c r="FJ22">
        <v>1555.633</v>
      </c>
      <c r="FK22">
        <v>0.61199999999999999</v>
      </c>
      <c r="FL22" s="14">
        <f t="shared" si="31"/>
        <v>0.52568274895881217</v>
      </c>
      <c r="FM22" s="36">
        <f t="shared" si="61"/>
        <v>48.906018411433479</v>
      </c>
      <c r="FN22" s="7"/>
      <c r="FO22" s="9"/>
      <c r="FR22" s="14"/>
      <c r="FS22" s="7"/>
      <c r="FT22" s="7"/>
      <c r="FU22" s="9"/>
      <c r="FX22" s="14"/>
      <c r="FY22" s="7"/>
      <c r="FZ22" s="7"/>
      <c r="GA22" s="9"/>
      <c r="GD22" s="14"/>
      <c r="GE22" s="7"/>
      <c r="GF22" s="7"/>
      <c r="GG22" s="9"/>
      <c r="GJ22" s="14"/>
      <c r="GK22" s="7"/>
      <c r="GL22" s="7"/>
      <c r="GM22" s="9"/>
      <c r="GP22" s="14"/>
      <c r="GQ22" s="7"/>
      <c r="GR22" s="7"/>
      <c r="GS22" s="9"/>
      <c r="GV22" s="14"/>
      <c r="GW22" s="7"/>
      <c r="GX22" s="7"/>
      <c r="GY22" s="9"/>
      <c r="HA22" s="22"/>
      <c r="HB22" s="14"/>
      <c r="HC22" s="7"/>
      <c r="HD22" s="7"/>
      <c r="HE22" s="9"/>
      <c r="HH22" s="14"/>
      <c r="HI22" s="7"/>
      <c r="HJ22" s="7"/>
      <c r="HK22" s="9"/>
      <c r="HN22" s="14"/>
      <c r="HO22" s="7"/>
      <c r="HP22" s="7"/>
      <c r="HQ22" s="9"/>
      <c r="HT22" s="14"/>
      <c r="HU22" s="7"/>
      <c r="HV22" s="7"/>
      <c r="HW22" s="9"/>
      <c r="HZ22" s="14"/>
      <c r="IA22" s="7"/>
      <c r="IB22" s="7"/>
      <c r="IC22" s="9"/>
      <c r="IF22" s="14"/>
      <c r="IG22" s="7"/>
      <c r="IH22" s="7"/>
      <c r="II22" s="9"/>
      <c r="IL22" s="14"/>
    </row>
    <row r="23" spans="1:246" ht="19" x14ac:dyDescent="0.25">
      <c r="A23" s="29" t="s">
        <v>40</v>
      </c>
      <c r="B23">
        <v>473.17599999999999</v>
      </c>
      <c r="C23">
        <f>Vol_soil_calc!L22</f>
        <v>31.852349497975435</v>
      </c>
      <c r="D23" s="28">
        <v>8.2057366080959995E-2</v>
      </c>
      <c r="E23">
        <v>275.14999999999998</v>
      </c>
      <c r="F23">
        <f t="shared" si="0"/>
        <v>0.4413236505020246</v>
      </c>
      <c r="G23">
        <v>2.3029999999999999</v>
      </c>
      <c r="H23">
        <v>37.768999999999998</v>
      </c>
      <c r="I23" s="9">
        <f t="shared" si="1"/>
        <v>11.434756282167726</v>
      </c>
      <c r="J23" s="6">
        <v>44447.912499999999</v>
      </c>
      <c r="K23" s="7">
        <v>44447.958333333336</v>
      </c>
      <c r="L23" s="9">
        <f t="shared" si="62"/>
        <v>4.5833333337213844E-2</v>
      </c>
      <c r="M23" s="9">
        <v>275.14999999999998</v>
      </c>
      <c r="N23" s="29">
        <v>576.47500000000002</v>
      </c>
      <c r="O23" s="29">
        <v>56.468000000000004</v>
      </c>
      <c r="P23" s="14">
        <f t="shared" si="2"/>
        <v>10.750093419464964</v>
      </c>
      <c r="Q23" s="41">
        <f t="shared" si="33"/>
        <v>11.825102762412641</v>
      </c>
      <c r="R23" s="6"/>
      <c r="S23" s="30">
        <v>0.53333333333333333</v>
      </c>
      <c r="T23" s="9">
        <f t="shared" si="63"/>
        <v>0.53333333333333333</v>
      </c>
      <c r="U23" s="9">
        <v>275.14999999999998</v>
      </c>
      <c r="V23">
        <v>1984.4639999999999</v>
      </c>
      <c r="W23">
        <v>294.33</v>
      </c>
      <c r="X23" s="14">
        <f t="shared" si="4"/>
        <v>3.1802239267081776</v>
      </c>
      <c r="Y23" s="36">
        <f t="shared" si="34"/>
        <v>40.706866261864675</v>
      </c>
      <c r="Z23" s="7">
        <v>44448.589583333334</v>
      </c>
      <c r="AA23" s="7">
        <v>44449.701388888891</v>
      </c>
      <c r="AB23" s="9">
        <f t="shared" si="35"/>
        <v>1.1118055555562023</v>
      </c>
      <c r="AC23">
        <v>278.97624999999999</v>
      </c>
      <c r="AD23">
        <v>936.32399999999996</v>
      </c>
      <c r="AE23">
        <v>49.494</v>
      </c>
      <c r="AF23" s="14">
        <f t="shared" si="5"/>
        <v>0.70992554643621009</v>
      </c>
      <c r="AG23" s="41">
        <f t="shared" si="36"/>
        <v>18.943179997417225</v>
      </c>
      <c r="AH23" s="7">
        <v>44449.73333333333</v>
      </c>
      <c r="AI23" s="21">
        <v>44451.865972222222</v>
      </c>
      <c r="AJ23" s="9">
        <f t="shared" si="64"/>
        <v>2.132638888891961</v>
      </c>
      <c r="AK23" s="9">
        <v>275.30391666666662</v>
      </c>
      <c r="AL23">
        <v>763.08699999999999</v>
      </c>
      <c r="AM23">
        <v>4.8710000000000004</v>
      </c>
      <c r="AN23" s="14">
        <f t="shared" si="7"/>
        <v>0.30565187308710967</v>
      </c>
      <c r="AO23" s="41">
        <f t="shared" si="37"/>
        <v>15.644281704197766</v>
      </c>
      <c r="AP23" s="21">
        <v>44451.895138888889</v>
      </c>
      <c r="AQ23" s="21">
        <v>44453.768055555556</v>
      </c>
      <c r="AR23" s="9">
        <f t="shared" si="38"/>
        <v>1.8729166666671517</v>
      </c>
      <c r="AS23" s="9">
        <v>275.34574999999995</v>
      </c>
      <c r="AT23">
        <v>613.60400000000004</v>
      </c>
      <c r="AU23">
        <v>0.06</v>
      </c>
      <c r="AV23" s="14">
        <f t="shared" si="8"/>
        <v>0.27981698397259719</v>
      </c>
      <c r="AW23" s="41">
        <f t="shared" si="39"/>
        <v>12.577773429571501</v>
      </c>
      <c r="AX23" s="21">
        <v>44453.801388888889</v>
      </c>
      <c r="AY23" s="21">
        <v>44456.644444444442</v>
      </c>
      <c r="AZ23" s="9">
        <f t="shared" si="65"/>
        <v>2.8430555555532919</v>
      </c>
      <c r="BA23" s="9">
        <v>275.28258333333332</v>
      </c>
      <c r="BB23">
        <v>618.49099999999999</v>
      </c>
      <c r="BC23">
        <v>2.569</v>
      </c>
      <c r="BD23" s="14">
        <f t="shared" si="10"/>
        <v>0.18584548897026187</v>
      </c>
      <c r="BE23" s="41">
        <f t="shared" si="40"/>
        <v>12.680857197394104</v>
      </c>
      <c r="BF23" s="21">
        <v>44456.654861111114</v>
      </c>
      <c r="BG23" s="21">
        <v>44459.650694444441</v>
      </c>
      <c r="BH23" s="9">
        <f t="shared" si="41"/>
        <v>2.9958333333270275</v>
      </c>
      <c r="BI23" s="9">
        <v>274.02612499999998</v>
      </c>
      <c r="BJ23">
        <v>425.79399999999998</v>
      </c>
      <c r="BK23">
        <v>1.9790000000000001</v>
      </c>
      <c r="BL23" s="14">
        <f t="shared" si="11"/>
        <v>0.12197550933374526</v>
      </c>
      <c r="BM23" s="41">
        <f t="shared" si="42"/>
        <v>8.7700391210778257</v>
      </c>
      <c r="BN23" s="21">
        <v>44459.831250000003</v>
      </c>
      <c r="BO23" s="21">
        <v>44461.51666666667</v>
      </c>
      <c r="BP23" s="9">
        <f t="shared" si="66"/>
        <v>1.6854166666671517</v>
      </c>
      <c r="BQ23" s="9">
        <v>276.14041666666662</v>
      </c>
      <c r="BR23">
        <v>490.02800000000002</v>
      </c>
      <c r="BS23">
        <v>2.0179999999999998</v>
      </c>
      <c r="BT23" s="14">
        <f t="shared" si="13"/>
        <v>0.24760896058128648</v>
      </c>
      <c r="BU23" s="41">
        <f t="shared" si="43"/>
        <v>10.015782455515922</v>
      </c>
      <c r="BV23" s="21">
        <v>44461.679861111108</v>
      </c>
      <c r="BW23" s="21">
        <v>44466.598611111112</v>
      </c>
      <c r="BX23" s="9">
        <f t="shared" si="67"/>
        <v>4.9187500000043656</v>
      </c>
      <c r="BY23" s="9">
        <v>276.28674999999998</v>
      </c>
      <c r="BZ23">
        <v>641.28099999999995</v>
      </c>
      <c r="CA23">
        <v>2.2309999999999999</v>
      </c>
      <c r="CB23" s="14">
        <f t="shared" si="14"/>
        <v>0.11097273412968625</v>
      </c>
      <c r="CC23" s="41">
        <f t="shared" si="45"/>
        <v>13.10033126402109</v>
      </c>
      <c r="CD23" s="21">
        <v>44466.62777777778</v>
      </c>
      <c r="CE23" s="21">
        <v>44473.606249999997</v>
      </c>
      <c r="CF23" s="9">
        <f t="shared" si="68"/>
        <v>6.9784722222175333</v>
      </c>
      <c r="CG23" s="9">
        <v>276.3075833333333</v>
      </c>
      <c r="CH23">
        <v>817.601</v>
      </c>
      <c r="CI23">
        <v>2.1019999999999999</v>
      </c>
      <c r="CJ23" s="14">
        <f t="shared" si="16"/>
        <v>9.9717406910329154E-2</v>
      </c>
      <c r="CK23" s="41">
        <f t="shared" si="46"/>
        <v>16.701003700687071</v>
      </c>
      <c r="CL23" s="21">
        <v>44473.633333333331</v>
      </c>
      <c r="CM23" s="21">
        <v>44477.704861111109</v>
      </c>
      <c r="CN23" s="9">
        <f t="shared" si="69"/>
        <v>4.0715277777781012</v>
      </c>
      <c r="CO23" s="9">
        <v>276.45387499999998</v>
      </c>
      <c r="CP23">
        <v>1182.1199999999999</v>
      </c>
      <c r="CQ23">
        <v>2.0619999999999998</v>
      </c>
      <c r="CR23" s="14">
        <f t="shared" si="17"/>
        <v>0.24698137395305655</v>
      </c>
      <c r="CS23" s="41">
        <f t="shared" si="48"/>
        <v>24.134196591448095</v>
      </c>
      <c r="CT23" s="21">
        <v>44477.722222222219</v>
      </c>
      <c r="CU23" s="21">
        <v>44483.703472222223</v>
      </c>
      <c r="CV23" s="9">
        <f t="shared" si="70"/>
        <v>5.9812500000043656</v>
      </c>
      <c r="CW23" s="9">
        <v>277.06033333333329</v>
      </c>
      <c r="CX23">
        <v>1188.6400000000001</v>
      </c>
      <c r="CY23">
        <v>2.0739999999999998</v>
      </c>
      <c r="CZ23" s="14">
        <f t="shared" si="19"/>
        <v>0.16868122817716366</v>
      </c>
      <c r="DA23" s="41">
        <f t="shared" si="49"/>
        <v>24.214190304849517</v>
      </c>
      <c r="DB23" s="21">
        <v>44483.71875</v>
      </c>
      <c r="DC23" s="21">
        <v>44491.64166666667</v>
      </c>
      <c r="DD23" s="9">
        <f t="shared" si="71"/>
        <v>7.9229166666700621</v>
      </c>
      <c r="DE23" s="9">
        <v>277.24849999999998</v>
      </c>
      <c r="DF23">
        <v>1088.5920000000001</v>
      </c>
      <c r="DG23">
        <v>2.1280000000000001</v>
      </c>
      <c r="DH23" s="14">
        <f t="shared" si="20"/>
        <v>0.11654497852264464</v>
      </c>
      <c r="DI23" s="41">
        <f t="shared" si="51"/>
        <v>22.161027666090376</v>
      </c>
      <c r="DJ23" s="21">
        <v>44491.650694444441</v>
      </c>
      <c r="DK23" s="21">
        <v>44498.630555555559</v>
      </c>
      <c r="DL23" s="9">
        <f t="shared" si="72"/>
        <v>6.9798611111182254</v>
      </c>
      <c r="DM23" s="9">
        <v>276.97687499999995</v>
      </c>
      <c r="DN23">
        <v>804.26499999999999</v>
      </c>
      <c r="DO23">
        <v>2.0489999999999999</v>
      </c>
      <c r="DP23" s="14">
        <f t="shared" si="22"/>
        <v>9.7834402850426036E-2</v>
      </c>
      <c r="DQ23" s="41">
        <f t="shared" si="52"/>
        <v>16.388893050843905</v>
      </c>
      <c r="DR23" s="21">
        <v>44498.686111111114</v>
      </c>
      <c r="DS23" s="21">
        <v>44505.581944444442</v>
      </c>
      <c r="DT23" s="9">
        <f t="shared" si="53"/>
        <v>6.8958333333284827</v>
      </c>
      <c r="DU23" s="9">
        <v>276.60066666666665</v>
      </c>
      <c r="DV23">
        <v>850.28800000000001</v>
      </c>
      <c r="DW23">
        <v>2.0590000000000002</v>
      </c>
      <c r="DX23" s="14">
        <f t="shared" si="23"/>
        <v>0.10483560167354224</v>
      </c>
      <c r="DY23" s="41">
        <f t="shared" si="54"/>
        <v>17.350292076959036</v>
      </c>
      <c r="DZ23" s="21">
        <v>44505.647222222222</v>
      </c>
      <c r="EA23" s="21">
        <v>44512.633333333331</v>
      </c>
      <c r="EB23" s="9">
        <f t="shared" si="73"/>
        <v>6.9861111111094942</v>
      </c>
      <c r="EC23" s="9">
        <v>277.08091666666667</v>
      </c>
      <c r="ED23">
        <v>900.01199999999994</v>
      </c>
      <c r="EE23">
        <v>2.1139999999999999</v>
      </c>
      <c r="EF23" s="14">
        <f t="shared" si="25"/>
        <v>0.10934247916743561</v>
      </c>
      <c r="EG23" s="41">
        <f t="shared" si="55"/>
        <v>18.333089007069127</v>
      </c>
      <c r="EH23" s="21">
        <v>44512.676388888889</v>
      </c>
      <c r="EI23" s="21">
        <v>44521.677777777775</v>
      </c>
      <c r="EJ23" s="9">
        <f t="shared" si="56"/>
        <v>9.0013888888861402</v>
      </c>
      <c r="EK23" s="9">
        <v>276.87229166666663</v>
      </c>
      <c r="EL23">
        <v>786.14200000000005</v>
      </c>
      <c r="EM23">
        <v>2.0529999999999999</v>
      </c>
      <c r="EN23" s="14">
        <f t="shared" si="26"/>
        <v>7.4181344403268221E-2</v>
      </c>
      <c r="EO23" s="41">
        <f t="shared" si="57"/>
        <v>16.025643102581149</v>
      </c>
      <c r="EP23" s="21">
        <v>44521.732638888891</v>
      </c>
      <c r="EQ23" s="21">
        <v>44530.701388888891</v>
      </c>
      <c r="ER23" s="9">
        <f t="shared" si="74"/>
        <v>8.96875</v>
      </c>
      <c r="ES23" s="9">
        <v>276.64249999999998</v>
      </c>
      <c r="ET23">
        <v>820.11</v>
      </c>
      <c r="EU23">
        <v>2.0659999999999998</v>
      </c>
      <c r="EV23" s="14">
        <f t="shared" si="28"/>
        <v>7.7732745907731951E-2</v>
      </c>
      <c r="EW23" s="41">
        <f t="shared" si="58"/>
        <v>16.731973556639304</v>
      </c>
      <c r="EX23" s="21">
        <v>44530.72152777778</v>
      </c>
      <c r="EY23" s="21">
        <v>44539.661805555559</v>
      </c>
      <c r="EZ23" s="9">
        <f t="shared" si="75"/>
        <v>8.9402777777795563</v>
      </c>
      <c r="FA23" s="9">
        <v>276.01466666666664</v>
      </c>
      <c r="FB23">
        <v>828.29899999999998</v>
      </c>
      <c r="FC23">
        <v>2.1379999999999999</v>
      </c>
      <c r="FD23" s="14">
        <f t="shared" si="30"/>
        <v>7.8938102995556453E-2</v>
      </c>
      <c r="FE23" s="41">
        <f t="shared" si="59"/>
        <v>16.937485632749933</v>
      </c>
      <c r="FF23" s="21">
        <v>44539.674305555556</v>
      </c>
      <c r="FG23" s="21">
        <v>44543.598611111112</v>
      </c>
      <c r="FH23" s="9">
        <f t="shared" si="60"/>
        <v>3.9243055555562023</v>
      </c>
      <c r="FI23" s="9">
        <v>276.78899999999999</v>
      </c>
      <c r="FJ23">
        <v>764.48</v>
      </c>
      <c r="FK23">
        <v>2.036</v>
      </c>
      <c r="FL23" s="14">
        <f t="shared" si="31"/>
        <v>0.16551494239584469</v>
      </c>
      <c r="FM23" s="36">
        <f t="shared" si="61"/>
        <v>15.588748991317875</v>
      </c>
      <c r="FN23" s="7"/>
      <c r="FO23" s="9"/>
      <c r="FR23" s="14"/>
      <c r="FS23" s="7"/>
      <c r="FT23" s="7"/>
      <c r="FU23" s="9"/>
      <c r="FX23" s="14"/>
      <c r="FY23" s="7"/>
      <c r="FZ23" s="7"/>
      <c r="GA23" s="9"/>
      <c r="GD23" s="14"/>
      <c r="GE23" s="7"/>
      <c r="GF23" s="7"/>
      <c r="GG23" s="9"/>
      <c r="GJ23" s="14"/>
      <c r="GK23" s="7"/>
      <c r="GL23" s="7"/>
      <c r="GM23" s="9"/>
      <c r="GP23" s="14"/>
      <c r="GQ23" s="7"/>
      <c r="GR23" s="7"/>
      <c r="GS23" s="9"/>
      <c r="GV23" s="14"/>
      <c r="GW23" s="7"/>
      <c r="GX23" s="7"/>
      <c r="GY23" s="9"/>
      <c r="HB23" s="14"/>
      <c r="HC23" s="7"/>
      <c r="HD23" s="7"/>
      <c r="HE23" s="9"/>
      <c r="HH23" s="14"/>
      <c r="HI23" s="7"/>
      <c r="HJ23" s="7"/>
      <c r="HK23" s="9"/>
      <c r="HN23" s="14"/>
      <c r="HO23" s="7"/>
      <c r="HP23" s="7"/>
      <c r="HQ23" s="9"/>
      <c r="HT23" s="14"/>
      <c r="HU23" s="7"/>
      <c r="HV23" s="7"/>
      <c r="HW23" s="9"/>
      <c r="HZ23" s="14"/>
      <c r="IA23" s="7"/>
      <c r="IB23" s="7"/>
      <c r="IC23" s="9"/>
      <c r="ID23" s="9"/>
      <c r="IE23" s="9"/>
      <c r="IF23" s="14"/>
      <c r="IG23" s="7"/>
      <c r="IH23" s="7"/>
      <c r="II23" s="9"/>
      <c r="IL23" s="14"/>
    </row>
    <row r="24" spans="1:246" ht="19" x14ac:dyDescent="0.25">
      <c r="A24" s="29" t="s">
        <v>41</v>
      </c>
      <c r="B24">
        <v>473.17599999999999</v>
      </c>
      <c r="C24">
        <f>Vol_soil_calc!L23</f>
        <v>29.584694766740526</v>
      </c>
      <c r="D24" s="28">
        <v>8.2057366080959995E-2</v>
      </c>
      <c r="E24">
        <v>275.14999999999998</v>
      </c>
      <c r="F24">
        <f t="shared" si="0"/>
        <v>0.44359130523325946</v>
      </c>
      <c r="G24">
        <v>2.9509999999999996</v>
      </c>
      <c r="H24">
        <v>34.042999999999999</v>
      </c>
      <c r="I24" s="9">
        <f t="shared" si="1"/>
        <v>8.6162996709693758</v>
      </c>
      <c r="J24" s="6">
        <v>44447.912499999999</v>
      </c>
      <c r="K24" s="7">
        <v>44447.96597222222</v>
      </c>
      <c r="L24" s="9">
        <f t="shared" si="62"/>
        <v>5.3472222221898846E-2</v>
      </c>
      <c r="M24" s="9">
        <v>275.14999999999998</v>
      </c>
      <c r="N24" s="29">
        <v>630.08100000000002</v>
      </c>
      <c r="O24" s="29">
        <v>65.844999999999999</v>
      </c>
      <c r="P24" s="14">
        <f t="shared" si="2"/>
        <v>13.4342459540226</v>
      </c>
      <c r="Q24" s="41">
        <f t="shared" si="33"/>
        <v>17.240615640891406</v>
      </c>
      <c r="R24" s="6"/>
      <c r="S24" s="30">
        <v>0.5395833333333333</v>
      </c>
      <c r="T24" s="9">
        <f t="shared" si="63"/>
        <v>0.5395833333333333</v>
      </c>
      <c r="U24" s="9">
        <v>275.14999999999998</v>
      </c>
      <c r="V24">
        <v>2154.556</v>
      </c>
      <c r="W24">
        <v>414.11799999999999</v>
      </c>
      <c r="X24" s="14">
        <f t="shared" si="4"/>
        <v>4.5524418200562939</v>
      </c>
      <c r="Y24" s="36">
        <f t="shared" si="34"/>
        <v>58.954121569729011</v>
      </c>
      <c r="Z24" s="7">
        <v>44448.589583333334</v>
      </c>
      <c r="AA24" s="7">
        <v>44449.704861111109</v>
      </c>
      <c r="AB24" s="9">
        <f t="shared" si="35"/>
        <v>1.1152777777751908</v>
      </c>
      <c r="AC24">
        <v>278.97624999999999</v>
      </c>
      <c r="AD24">
        <v>881.24400000000003</v>
      </c>
      <c r="AE24">
        <v>27.55</v>
      </c>
      <c r="AF24" s="14">
        <f t="shared" si="5"/>
        <v>0.8885063861438216</v>
      </c>
      <c r="AG24" s="41">
        <f t="shared" si="36"/>
        <v>23.782354269061123</v>
      </c>
      <c r="AH24" s="7">
        <v>44449.73333333333</v>
      </c>
      <c r="AI24" s="21">
        <v>44451.870833333334</v>
      </c>
      <c r="AJ24" s="9">
        <f t="shared" si="64"/>
        <v>2.1375000000043656</v>
      </c>
      <c r="AK24" s="9">
        <v>275.30391666666662</v>
      </c>
      <c r="AL24">
        <v>568.52599999999995</v>
      </c>
      <c r="AM24">
        <v>3.6440000000000001</v>
      </c>
      <c r="AN24" s="14">
        <f t="shared" si="7"/>
        <v>0.30307246337457933</v>
      </c>
      <c r="AO24" s="41">
        <f t="shared" si="37"/>
        <v>15.547617371147673</v>
      </c>
      <c r="AP24" s="21">
        <v>44451.895138888889</v>
      </c>
      <c r="AQ24" s="21">
        <v>44453.772222222222</v>
      </c>
      <c r="AR24" s="9">
        <f t="shared" si="38"/>
        <v>1.8770833333328483</v>
      </c>
      <c r="AS24" s="9">
        <v>275.34574999999995</v>
      </c>
      <c r="AT24">
        <v>520.73599999999999</v>
      </c>
      <c r="AU24">
        <v>0.01</v>
      </c>
      <c r="AV24" s="14">
        <f t="shared" si="8"/>
        <v>0.3160605803877175</v>
      </c>
      <c r="AW24" s="41">
        <f t="shared" si="39"/>
        <v>14.238529146462994</v>
      </c>
      <c r="AX24" s="21">
        <v>44453.801388888889</v>
      </c>
      <c r="AY24" s="21">
        <v>44456.59652777778</v>
      </c>
      <c r="AZ24" s="9">
        <f t="shared" si="65"/>
        <v>2.7951388888905058</v>
      </c>
      <c r="BA24" s="9">
        <v>275.28258333333332</v>
      </c>
      <c r="BB24">
        <v>534.29600000000005</v>
      </c>
      <c r="BC24">
        <v>2.4390000000000001</v>
      </c>
      <c r="BD24" s="14">
        <f t="shared" si="10"/>
        <v>0.21782837750989389</v>
      </c>
      <c r="BE24" s="41">
        <f t="shared" si="40"/>
        <v>14.612653657963836</v>
      </c>
      <c r="BF24" s="21">
        <v>44456.654861111114</v>
      </c>
      <c r="BG24" s="21">
        <v>44459.65625</v>
      </c>
      <c r="BH24" s="9">
        <f t="shared" si="41"/>
        <v>3.0013888888861402</v>
      </c>
      <c r="BI24" s="9">
        <v>274.02612499999998</v>
      </c>
      <c r="BJ24">
        <v>341.89100000000002</v>
      </c>
      <c r="BK24">
        <v>1.5620000000000001</v>
      </c>
      <c r="BL24" s="14">
        <f t="shared" si="11"/>
        <v>0.1304031523906406</v>
      </c>
      <c r="BM24" s="41">
        <f t="shared" si="42"/>
        <v>9.3933737438638758</v>
      </c>
      <c r="BN24" s="21">
        <v>44459.831250000003</v>
      </c>
      <c r="BO24" s="21">
        <v>44461.637499999997</v>
      </c>
      <c r="BP24" s="9">
        <f t="shared" si="66"/>
        <v>1.8062499999941792</v>
      </c>
      <c r="BQ24" s="9">
        <v>276.14041666666662</v>
      </c>
      <c r="BR24">
        <v>452.33600000000001</v>
      </c>
      <c r="BS24">
        <v>1.8620000000000001</v>
      </c>
      <c r="BT24" s="14">
        <f t="shared" si="13"/>
        <v>0.28449063779918971</v>
      </c>
      <c r="BU24" s="41">
        <f t="shared" si="43"/>
        <v>12.332669148555132</v>
      </c>
      <c r="BV24" s="21">
        <v>44461.679861111108</v>
      </c>
      <c r="BW24" s="21">
        <v>44466.595138888886</v>
      </c>
      <c r="BX24" s="9">
        <f t="shared" si="67"/>
        <v>4.9152777777781012</v>
      </c>
      <c r="BY24" s="9">
        <v>276.28674999999998</v>
      </c>
      <c r="BZ24">
        <v>664.62800000000004</v>
      </c>
      <c r="CA24">
        <v>2.1110000000000002</v>
      </c>
      <c r="CB24" s="14">
        <f t="shared" si="14"/>
        <v>0.15352714409071816</v>
      </c>
      <c r="CC24" s="41">
        <f t="shared" si="45"/>
        <v>18.111085431236244</v>
      </c>
      <c r="CD24" s="21">
        <v>44466.62777777778</v>
      </c>
      <c r="CE24" s="21">
        <v>44473.612500000003</v>
      </c>
      <c r="CF24" s="9">
        <f t="shared" si="68"/>
        <v>6.984722222223354</v>
      </c>
      <c r="CG24" s="9">
        <v>276.3075833333333</v>
      </c>
      <c r="CH24">
        <v>1129.83</v>
      </c>
      <c r="CI24">
        <v>2.3119999999999998</v>
      </c>
      <c r="CJ24" s="14">
        <f t="shared" si="16"/>
        <v>0.18364783810963478</v>
      </c>
      <c r="CK24" s="41">
        <f t="shared" si="46"/>
        <v>30.785499261783436</v>
      </c>
      <c r="CL24" s="21">
        <v>44473.633333333331</v>
      </c>
      <c r="CM24" s="21">
        <v>44477.697222222225</v>
      </c>
      <c r="CN24" s="9">
        <f t="shared" si="69"/>
        <v>4.0638888888934162</v>
      </c>
      <c r="CO24" s="9">
        <v>276.45387499999998</v>
      </c>
      <c r="CP24">
        <v>1497.0260000000001</v>
      </c>
      <c r="CQ24">
        <v>1.956</v>
      </c>
      <c r="CR24" s="14">
        <f t="shared" si="17"/>
        <v>0.41800309520629692</v>
      </c>
      <c r="CS24" s="41">
        <f t="shared" si="48"/>
        <v>40.769235219166241</v>
      </c>
      <c r="CT24" s="21">
        <v>44477.722222222219</v>
      </c>
      <c r="CU24" s="21">
        <v>44483.708333333336</v>
      </c>
      <c r="CV24" s="9">
        <f t="shared" si="70"/>
        <v>5.9861111111167702</v>
      </c>
      <c r="CW24" s="9">
        <v>277.06033333333329</v>
      </c>
      <c r="CX24">
        <v>1633.0229999999999</v>
      </c>
      <c r="CY24">
        <v>2.0870000000000002</v>
      </c>
      <c r="CZ24" s="14">
        <f t="shared" si="19"/>
        <v>0.30887861196210709</v>
      </c>
      <c r="DA24" s="41">
        <f t="shared" si="49"/>
        <v>44.375560585264665</v>
      </c>
      <c r="DB24" s="21">
        <v>44483.71875</v>
      </c>
      <c r="DC24" s="21">
        <v>44491.588194444441</v>
      </c>
      <c r="DD24" s="9">
        <f t="shared" si="71"/>
        <v>7.8694444444408873</v>
      </c>
      <c r="DE24" s="9">
        <v>277.24849999999998</v>
      </c>
      <c r="DF24">
        <v>1002.559</v>
      </c>
      <c r="DG24">
        <v>2.0920000000000001</v>
      </c>
      <c r="DH24" s="14">
        <f t="shared" si="20"/>
        <v>0.14414889669929895</v>
      </c>
      <c r="DI24" s="41">
        <f t="shared" si="51"/>
        <v>27.22492162326196</v>
      </c>
      <c r="DJ24" s="21">
        <v>44491.650694444441</v>
      </c>
      <c r="DK24" s="21">
        <v>44498.634722222225</v>
      </c>
      <c r="DL24" s="9">
        <f t="shared" si="72"/>
        <v>6.9840277777839219</v>
      </c>
      <c r="DM24" s="9">
        <v>276.97687499999995</v>
      </c>
      <c r="DN24">
        <v>908.21600000000001</v>
      </c>
      <c r="DO24">
        <v>2.0289999999999999</v>
      </c>
      <c r="DP24" s="14">
        <f t="shared" si="22"/>
        <v>0.14728358310713449</v>
      </c>
      <c r="DQ24" s="41">
        <f t="shared" si="52"/>
        <v>24.68718325516258</v>
      </c>
      <c r="DR24" s="21">
        <v>44498.686111111114</v>
      </c>
      <c r="DS24" s="21">
        <v>44505.587500000001</v>
      </c>
      <c r="DT24" s="9">
        <f t="shared" si="53"/>
        <v>6.9013888888875954</v>
      </c>
      <c r="DU24" s="9">
        <v>276.60066666666665</v>
      </c>
      <c r="DV24">
        <v>831.53599999999994</v>
      </c>
      <c r="DW24">
        <v>2.0339999999999998</v>
      </c>
      <c r="DX24" s="14">
        <f t="shared" si="23"/>
        <v>0.13664885429690332</v>
      </c>
      <c r="DY24" s="41">
        <f t="shared" si="54"/>
        <v>22.633605233372847</v>
      </c>
      <c r="DZ24" s="21">
        <v>44505.647222222222</v>
      </c>
      <c r="EA24" s="21">
        <v>44512.636111111111</v>
      </c>
      <c r="EB24" s="9">
        <f t="shared" si="73"/>
        <v>6.9888888888890506</v>
      </c>
      <c r="EC24" s="9">
        <v>277.08091666666667</v>
      </c>
      <c r="ED24">
        <v>796.2</v>
      </c>
      <c r="EE24">
        <v>2.08</v>
      </c>
      <c r="EF24" s="14">
        <f t="shared" si="25"/>
        <v>0.1289799140182524</v>
      </c>
      <c r="EG24" s="41">
        <f t="shared" si="55"/>
        <v>21.634230911328704</v>
      </c>
      <c r="EH24" s="21">
        <v>44512.676388888889</v>
      </c>
      <c r="EI24" s="21">
        <v>44521.674305555556</v>
      </c>
      <c r="EJ24" s="9">
        <f t="shared" si="56"/>
        <v>8.9979166666671517</v>
      </c>
      <c r="EK24" s="9">
        <v>276.87229166666663</v>
      </c>
      <c r="EL24">
        <v>972.12199999999996</v>
      </c>
      <c r="EM24">
        <v>2.036</v>
      </c>
      <c r="EN24" s="14">
        <f t="shared" si="26"/>
        <v>0.12240917509370615</v>
      </c>
      <c r="EO24" s="41">
        <f t="shared" si="57"/>
        <v>26.43426136148727</v>
      </c>
      <c r="EP24" s="21">
        <v>44521.732638888891</v>
      </c>
      <c r="EQ24" s="21">
        <v>44530.636111111111</v>
      </c>
      <c r="ER24" s="9">
        <f t="shared" si="74"/>
        <v>8.9034722222204437</v>
      </c>
      <c r="ES24" s="9">
        <v>276.64249999999998</v>
      </c>
      <c r="ET24">
        <v>884.70899999999995</v>
      </c>
      <c r="EU24">
        <v>2.085</v>
      </c>
      <c r="EV24" s="14">
        <f t="shared" si="28"/>
        <v>0.11267739505939735</v>
      </c>
      <c r="EW24" s="41">
        <f t="shared" si="58"/>
        <v>24.07728136760408</v>
      </c>
      <c r="EX24" s="21">
        <v>44530.72152777778</v>
      </c>
      <c r="EY24" s="21">
        <v>44539.650694444441</v>
      </c>
      <c r="EZ24" s="9">
        <f t="shared" si="75"/>
        <v>8.929166666661331</v>
      </c>
      <c r="FA24" s="9">
        <v>276.01466666666664</v>
      </c>
      <c r="FB24">
        <v>844.04200000000003</v>
      </c>
      <c r="FC24">
        <v>2.12</v>
      </c>
      <c r="FD24" s="14">
        <f t="shared" si="30"/>
        <v>0.10743248718332118</v>
      </c>
      <c r="FE24" s="41">
        <f t="shared" si="59"/>
        <v>23.022782003371972</v>
      </c>
      <c r="FF24" s="21">
        <v>44539.674305555556</v>
      </c>
      <c r="FG24" s="21">
        <v>44543.572916666664</v>
      </c>
      <c r="FH24" s="9">
        <f t="shared" si="60"/>
        <v>3.898611111108039</v>
      </c>
      <c r="FI24" s="9">
        <v>276.78899999999999</v>
      </c>
      <c r="FJ24">
        <v>747.88099999999997</v>
      </c>
      <c r="FK24">
        <v>1.9830000000000001</v>
      </c>
      <c r="FL24" s="14">
        <f t="shared" si="31"/>
        <v>0.21741445682375507</v>
      </c>
      <c r="FM24" s="36">
        <f t="shared" si="61"/>
        <v>20.342746010126653</v>
      </c>
      <c r="FN24" s="7"/>
      <c r="FO24" s="9"/>
      <c r="FR24" s="14"/>
      <c r="FS24" s="7"/>
      <c r="FT24" s="7"/>
      <c r="FU24" s="9"/>
      <c r="FX24" s="14"/>
      <c r="FY24" s="7"/>
      <c r="FZ24" s="7"/>
      <c r="GA24" s="9"/>
      <c r="GD24" s="14"/>
      <c r="GE24" s="7"/>
      <c r="GF24" s="7"/>
      <c r="GG24" s="9"/>
      <c r="GJ24" s="14"/>
      <c r="GK24" s="7"/>
      <c r="GL24" s="7"/>
      <c r="GM24" s="9"/>
      <c r="GP24" s="14"/>
      <c r="GQ24" s="7"/>
      <c r="GR24" s="7"/>
      <c r="GS24" s="9"/>
      <c r="GV24" s="14"/>
      <c r="GW24" s="7"/>
      <c r="GX24" s="7"/>
      <c r="GY24" s="9"/>
      <c r="HB24" s="14"/>
      <c r="HC24" s="7"/>
      <c r="HD24" s="7"/>
      <c r="HE24" s="9"/>
      <c r="HH24" s="14"/>
      <c r="HI24" s="7"/>
      <c r="HJ24" s="7"/>
      <c r="HK24" s="9"/>
      <c r="HN24" s="14"/>
      <c r="HO24" s="7"/>
      <c r="HP24" s="7"/>
      <c r="HQ24" s="9"/>
      <c r="HT24" s="14"/>
      <c r="HU24" s="7"/>
      <c r="HV24" s="7"/>
      <c r="HW24" s="9"/>
      <c r="HZ24" s="14"/>
      <c r="IA24" s="7"/>
      <c r="IB24" s="7"/>
      <c r="IC24" s="9"/>
      <c r="IF24" s="14"/>
      <c r="IG24" s="7"/>
      <c r="IH24" s="7"/>
      <c r="II24" s="9"/>
      <c r="IL24" s="14"/>
    </row>
    <row r="25" spans="1:246" ht="19" x14ac:dyDescent="0.25">
      <c r="A25" s="29" t="s">
        <v>42</v>
      </c>
      <c r="B25">
        <v>473.17599999999999</v>
      </c>
      <c r="C25">
        <f>Vol_soil_calc!L24</f>
        <v>33.201095950745589</v>
      </c>
      <c r="D25" s="28">
        <v>8.2057366080959995E-2</v>
      </c>
      <c r="E25">
        <v>275.14999999999998</v>
      </c>
      <c r="F25">
        <f t="shared" si="0"/>
        <v>0.43997490404925438</v>
      </c>
      <c r="G25">
        <v>2.484</v>
      </c>
      <c r="H25">
        <v>38.991999999999997</v>
      </c>
      <c r="I25" s="9">
        <f t="shared" si="1"/>
        <v>11.191733639494833</v>
      </c>
      <c r="J25" s="6">
        <v>44447.912499999999</v>
      </c>
      <c r="K25" s="7">
        <v>44447.970833333333</v>
      </c>
      <c r="L25" s="9">
        <f t="shared" si="62"/>
        <v>5.8333333334303461E-2</v>
      </c>
      <c r="M25" s="9">
        <v>275.14999999999998</v>
      </c>
      <c r="N25" s="29">
        <v>604.11800000000005</v>
      </c>
      <c r="O25" s="29">
        <v>65.301000000000002</v>
      </c>
      <c r="P25" s="14">
        <f t="shared" si="2"/>
        <v>9.0160941105762102</v>
      </c>
      <c r="Q25" s="41">
        <f t="shared" si="33"/>
        <v>12.622531755016617</v>
      </c>
      <c r="R25" s="6"/>
      <c r="S25" s="30">
        <v>0.54513888888888895</v>
      </c>
      <c r="T25" s="9">
        <f t="shared" si="63"/>
        <v>0.54513888888888895</v>
      </c>
      <c r="U25" s="9">
        <v>275.14999999999998</v>
      </c>
      <c r="V25">
        <v>2160.819</v>
      </c>
      <c r="W25">
        <v>307.303</v>
      </c>
      <c r="X25" s="14">
        <f t="shared" si="4"/>
        <v>3.4508388565767705</v>
      </c>
      <c r="Y25" s="36">
        <f t="shared" si="34"/>
        <v>45.148475040212759</v>
      </c>
      <c r="Z25" s="7">
        <v>44448.589583333334</v>
      </c>
      <c r="AA25" s="7">
        <v>44449.709027777775</v>
      </c>
      <c r="AB25" s="9">
        <f t="shared" si="35"/>
        <v>1.1194444444408873</v>
      </c>
      <c r="AC25">
        <v>278.97624999999999</v>
      </c>
      <c r="AD25">
        <v>965.03399999999999</v>
      </c>
      <c r="AE25">
        <v>48.136000000000003</v>
      </c>
      <c r="AF25" s="14">
        <f t="shared" si="5"/>
        <v>0.74021146669444082</v>
      </c>
      <c r="AG25" s="41">
        <f t="shared" si="36"/>
        <v>19.887014738460785</v>
      </c>
      <c r="AH25" s="7">
        <v>44449.73333333333</v>
      </c>
      <c r="AI25" s="21">
        <v>44451.875694444447</v>
      </c>
      <c r="AJ25" s="9">
        <f t="shared" si="64"/>
        <v>2.1423611111167702</v>
      </c>
      <c r="AK25" s="9">
        <v>275.30391666666662</v>
      </c>
      <c r="AL25">
        <v>731.98500000000001</v>
      </c>
      <c r="AM25">
        <v>3.8940000000000001</v>
      </c>
      <c r="AN25" s="14">
        <f t="shared" si="7"/>
        <v>0.29728985325375973</v>
      </c>
      <c r="AO25" s="41">
        <f t="shared" si="37"/>
        <v>15.28565328817119</v>
      </c>
      <c r="AP25" s="21">
        <v>44451.895138888889</v>
      </c>
      <c r="AQ25" s="21">
        <v>44453.777083333334</v>
      </c>
      <c r="AR25" s="9">
        <f t="shared" si="38"/>
        <v>1.8819444444452529</v>
      </c>
      <c r="AS25" s="9">
        <v>275.34574999999995</v>
      </c>
      <c r="AT25">
        <v>613.346</v>
      </c>
      <c r="AU25">
        <v>0.01</v>
      </c>
      <c r="AV25" s="14">
        <f t="shared" si="8"/>
        <v>0.28353281681951753</v>
      </c>
      <c r="AW25" s="41">
        <f t="shared" si="39"/>
        <v>12.806232226353711</v>
      </c>
      <c r="AX25" s="21">
        <v>44453.801388888889</v>
      </c>
      <c r="AY25" s="21">
        <v>44456.6</v>
      </c>
      <c r="AZ25" s="9">
        <f t="shared" si="65"/>
        <v>2.7986111111094942</v>
      </c>
      <c r="BA25" s="9">
        <v>275.28258333333332</v>
      </c>
      <c r="BB25">
        <v>621.09500000000003</v>
      </c>
      <c r="BC25">
        <v>2.3820000000000001</v>
      </c>
      <c r="BD25" s="14">
        <f t="shared" si="10"/>
        <v>0.19311664829497191</v>
      </c>
      <c r="BE25" s="41">
        <f t="shared" si="40"/>
        <v>12.971001543804785</v>
      </c>
      <c r="BF25" s="21">
        <v>44456.654861111114</v>
      </c>
      <c r="BG25" s="21">
        <v>44459.660416666666</v>
      </c>
      <c r="BH25" s="9">
        <f t="shared" si="41"/>
        <v>3.0055555555518367</v>
      </c>
      <c r="BI25" s="9">
        <v>274.02612499999998</v>
      </c>
      <c r="BJ25">
        <v>460.89800000000002</v>
      </c>
      <c r="BK25">
        <v>2.0870000000000002</v>
      </c>
      <c r="BL25" s="14">
        <f t="shared" si="11"/>
        <v>0.13405131097900169</v>
      </c>
      <c r="BM25" s="41">
        <f t="shared" si="42"/>
        <v>9.669567898606692</v>
      </c>
      <c r="BN25" s="21">
        <v>44459.831250000003</v>
      </c>
      <c r="BO25" s="21">
        <v>44461.654861111114</v>
      </c>
      <c r="BP25" s="9">
        <f t="shared" si="66"/>
        <v>1.8236111111109494</v>
      </c>
      <c r="BQ25" s="9">
        <v>276.14041666666662</v>
      </c>
      <c r="BR25">
        <v>516.33799999999997</v>
      </c>
      <c r="BS25">
        <v>2.008</v>
      </c>
      <c r="BT25" s="14">
        <f t="shared" si="13"/>
        <v>0.24561498190729719</v>
      </c>
      <c r="BU25" s="41">
        <f t="shared" si="43"/>
        <v>10.749749041475088</v>
      </c>
      <c r="BV25" s="21">
        <v>44461.679861111108</v>
      </c>
      <c r="BW25" s="21">
        <v>44466.591666666667</v>
      </c>
      <c r="BX25" s="9">
        <f t="shared" si="67"/>
        <v>4.9118055555591127</v>
      </c>
      <c r="BY25" s="9">
        <v>276.28674999999998</v>
      </c>
      <c r="BZ25">
        <v>627.50199999999995</v>
      </c>
      <c r="CA25">
        <v>2.1779999999999999</v>
      </c>
      <c r="CB25" s="14">
        <f t="shared" si="14"/>
        <v>0.11076354884788009</v>
      </c>
      <c r="CC25" s="41">
        <f t="shared" si="45"/>
        <v>13.057176350027053</v>
      </c>
      <c r="CD25" s="21">
        <v>44466.62777777778</v>
      </c>
      <c r="CE25" s="21">
        <v>44473.616666666669</v>
      </c>
      <c r="CF25" s="9">
        <f t="shared" si="68"/>
        <v>6.9888888888890506</v>
      </c>
      <c r="CG25" s="9">
        <v>276.3075833333333</v>
      </c>
      <c r="CH25">
        <v>830.75900000000001</v>
      </c>
      <c r="CI25">
        <v>2.2090000000000001</v>
      </c>
      <c r="CJ25" s="14">
        <f t="shared" si="16"/>
        <v>0.10305215686222075</v>
      </c>
      <c r="CK25" s="41">
        <f t="shared" si="46"/>
        <v>17.285281777690226</v>
      </c>
      <c r="CL25" s="21">
        <v>44473.633333333331</v>
      </c>
      <c r="CM25" s="21">
        <v>44477.711111111108</v>
      </c>
      <c r="CN25" s="9">
        <f t="shared" si="69"/>
        <v>4.077777777776646</v>
      </c>
      <c r="CO25" s="9">
        <v>276.45387499999998</v>
      </c>
      <c r="CP25">
        <v>1019.705</v>
      </c>
      <c r="CQ25">
        <v>2.073</v>
      </c>
      <c r="CR25" s="14">
        <f t="shared" si="17"/>
        <v>0.21667623654009102</v>
      </c>
      <c r="CS25" s="41">
        <f t="shared" si="48"/>
        <v>21.205381016051021</v>
      </c>
      <c r="CT25" s="21">
        <v>44477.722222222219</v>
      </c>
      <c r="CU25" s="21">
        <v>44483.564583333333</v>
      </c>
      <c r="CV25" s="9">
        <f t="shared" si="70"/>
        <v>5.8423611111138598</v>
      </c>
      <c r="CW25" s="9">
        <v>277.06033333333329</v>
      </c>
      <c r="CX25">
        <v>970.16300000000001</v>
      </c>
      <c r="CY25">
        <v>2.0659999999999998</v>
      </c>
      <c r="CZ25" s="14">
        <f t="shared" si="19"/>
        <v>0.14357040640433669</v>
      </c>
      <c r="DA25" s="41">
        <f t="shared" si="49"/>
        <v>20.130963818004211</v>
      </c>
      <c r="DB25" s="21">
        <v>44483.71875</v>
      </c>
      <c r="DC25" s="21">
        <v>44491.593055555553</v>
      </c>
      <c r="DD25" s="9">
        <f t="shared" si="71"/>
        <v>7.8743055555532919</v>
      </c>
      <c r="DE25" s="9">
        <v>277.24849999999998</v>
      </c>
      <c r="DF25">
        <v>713.92100000000005</v>
      </c>
      <c r="DG25">
        <v>2.117</v>
      </c>
      <c r="DH25" s="14">
        <f t="shared" si="20"/>
        <v>7.8334244644281084E-2</v>
      </c>
      <c r="DI25" s="41">
        <f t="shared" si="51"/>
        <v>14.803866667020799</v>
      </c>
      <c r="DJ25" s="21">
        <v>44491.650694444441</v>
      </c>
      <c r="DK25" s="21">
        <v>44498.638888888891</v>
      </c>
      <c r="DL25" s="9">
        <f t="shared" si="72"/>
        <v>6.9881944444496185</v>
      </c>
      <c r="DM25" s="9">
        <v>276.97687499999995</v>
      </c>
      <c r="DN25">
        <v>725.31700000000001</v>
      </c>
      <c r="DO25">
        <v>2.0870000000000002</v>
      </c>
      <c r="DP25" s="14">
        <f t="shared" si="22"/>
        <v>8.9764028799996481E-2</v>
      </c>
      <c r="DQ25" s="41">
        <f t="shared" si="52"/>
        <v>15.054923696917223</v>
      </c>
      <c r="DR25" s="21">
        <v>44498.686111111114</v>
      </c>
      <c r="DS25" s="21">
        <v>44505.593055555553</v>
      </c>
      <c r="DT25" s="9">
        <f t="shared" si="53"/>
        <v>6.9069444444394321</v>
      </c>
      <c r="DU25" s="9">
        <v>276.60066666666665</v>
      </c>
      <c r="DV25">
        <v>691.88499999999999</v>
      </c>
      <c r="DW25">
        <v>2.0649999999999999</v>
      </c>
      <c r="DX25" s="14">
        <f t="shared" si="23"/>
        <v>8.6751641533815357E-2</v>
      </c>
      <c r="DY25" s="41">
        <f t="shared" si="54"/>
        <v>14.38053044491169</v>
      </c>
      <c r="DZ25" s="21">
        <v>44505.647222222222</v>
      </c>
      <c r="EA25" s="21">
        <v>44512.652083333334</v>
      </c>
      <c r="EB25" s="9">
        <f t="shared" si="73"/>
        <v>7.0048611111124046</v>
      </c>
      <c r="EC25" s="9">
        <v>277.08091666666667</v>
      </c>
      <c r="ED25">
        <v>740.577</v>
      </c>
      <c r="EE25">
        <v>2.1</v>
      </c>
      <c r="EF25" s="14">
        <f t="shared" si="25"/>
        <v>9.1400179165634504E-2</v>
      </c>
      <c r="EG25" s="41">
        <f t="shared" si="55"/>
        <v>15.365893454065425</v>
      </c>
      <c r="EH25" s="21">
        <v>44512.676388888889</v>
      </c>
      <c r="EI25" s="21">
        <v>44521.685416666667</v>
      </c>
      <c r="EJ25" s="9">
        <f t="shared" si="56"/>
        <v>9.0090277777781012</v>
      </c>
      <c r="EK25" s="9">
        <v>276.87229166666663</v>
      </c>
      <c r="EL25">
        <v>643.476</v>
      </c>
      <c r="EM25">
        <v>2.0529999999999999</v>
      </c>
      <c r="EN25" s="14">
        <f t="shared" si="26"/>
        <v>6.1795649829907214E-2</v>
      </c>
      <c r="EO25" s="41">
        <f t="shared" si="57"/>
        <v>13.361249420723585</v>
      </c>
      <c r="EP25" s="21">
        <v>44521.732638888891</v>
      </c>
      <c r="EQ25" s="21">
        <v>44530.613888888889</v>
      </c>
      <c r="ER25" s="9">
        <f t="shared" si="74"/>
        <v>8.8812499999985448</v>
      </c>
      <c r="ES25" s="9">
        <v>276.64249999999998</v>
      </c>
      <c r="ET25">
        <v>633.04200000000003</v>
      </c>
      <c r="EU25">
        <v>2.069</v>
      </c>
      <c r="EV25" s="14">
        <f t="shared" si="28"/>
        <v>6.1719514384553024E-2</v>
      </c>
      <c r="EW25" s="41">
        <f t="shared" si="58"/>
        <v>13.155514491065322</v>
      </c>
      <c r="EX25" s="21">
        <v>44530.72152777778</v>
      </c>
      <c r="EY25" s="21">
        <v>44539.634027777778</v>
      </c>
      <c r="EZ25" s="9">
        <f t="shared" si="75"/>
        <v>8.9124999999985448</v>
      </c>
      <c r="FA25" s="9">
        <v>276.01466666666664</v>
      </c>
      <c r="FB25">
        <v>647.75599999999997</v>
      </c>
      <c r="FC25">
        <v>2.1629999999999998</v>
      </c>
      <c r="FD25" s="14">
        <f t="shared" si="30"/>
        <v>6.3075792107482265E-2</v>
      </c>
      <c r="FE25" s="41">
        <f t="shared" si="59"/>
        <v>13.491911931788252</v>
      </c>
      <c r="FF25" s="21">
        <v>44539.674305555556</v>
      </c>
      <c r="FG25" s="21">
        <v>44543.583333333336</v>
      </c>
      <c r="FH25" s="9">
        <f t="shared" si="60"/>
        <v>3.9090277777795563</v>
      </c>
      <c r="FI25" s="9">
        <v>276.78899999999999</v>
      </c>
      <c r="FJ25">
        <v>666.45699999999999</v>
      </c>
      <c r="FK25">
        <v>2.0779999999999998</v>
      </c>
      <c r="FL25" s="14">
        <f t="shared" si="31"/>
        <v>0.14754942523458989</v>
      </c>
      <c r="FM25" s="36">
        <f t="shared" si="61"/>
        <v>13.842595244098071</v>
      </c>
      <c r="FN25" s="7"/>
      <c r="FO25" s="9"/>
      <c r="FR25" s="14"/>
      <c r="FS25" s="7"/>
      <c r="FT25" s="7"/>
      <c r="FU25" s="9"/>
      <c r="FX25" s="14"/>
      <c r="FY25" s="7"/>
      <c r="FZ25" s="7"/>
      <c r="GA25" s="9"/>
      <c r="GD25" s="14"/>
      <c r="GE25" s="7"/>
      <c r="GF25" s="7"/>
      <c r="GG25" s="9"/>
      <c r="GJ25" s="14"/>
      <c r="GK25" s="7"/>
      <c r="GL25" s="7"/>
      <c r="GM25" s="9"/>
      <c r="GP25" s="14"/>
      <c r="GQ25" s="7"/>
      <c r="GR25" s="7"/>
      <c r="GS25" s="9"/>
      <c r="GV25" s="14"/>
      <c r="GW25" s="7"/>
      <c r="GX25" s="25"/>
      <c r="GY25" s="9"/>
      <c r="HB25" s="14"/>
      <c r="HC25" s="7"/>
      <c r="HD25" s="7"/>
      <c r="HE25" s="9"/>
      <c r="HH25" s="14"/>
      <c r="HI25" s="7"/>
      <c r="HJ25" s="7"/>
      <c r="HK25" s="9"/>
      <c r="HN25" s="14"/>
      <c r="HO25" s="7"/>
      <c r="HP25" s="7"/>
      <c r="HQ25" s="9"/>
      <c r="HT25" s="14"/>
      <c r="HU25" s="7"/>
      <c r="HV25" s="7"/>
      <c r="HW25" s="9"/>
      <c r="HZ25" s="14"/>
      <c r="IA25" s="7"/>
      <c r="IB25" s="7"/>
      <c r="IC25" s="9"/>
      <c r="IF25" s="14"/>
      <c r="IG25" s="7"/>
      <c r="IH25" s="7"/>
      <c r="II25" s="9"/>
      <c r="IL25" s="14"/>
    </row>
    <row r="26" spans="1:246" ht="19" x14ac:dyDescent="0.25">
      <c r="A26" s="29" t="s">
        <v>43</v>
      </c>
      <c r="B26">
        <v>473.17599999999999</v>
      </c>
      <c r="C26">
        <f>Vol_soil_calc!L25</f>
        <v>27.824862610451234</v>
      </c>
      <c r="D26" s="28">
        <v>8.2057366080959995E-2</v>
      </c>
      <c r="E26">
        <v>275.14999999999998</v>
      </c>
      <c r="F26">
        <f t="shared" si="0"/>
        <v>0.44535113738954873</v>
      </c>
      <c r="G26">
        <v>2.0529999999999999</v>
      </c>
      <c r="H26">
        <v>33.503</v>
      </c>
      <c r="I26" s="9">
        <f t="shared" si="1"/>
        <v>10.9737962659679</v>
      </c>
      <c r="J26" s="6">
        <v>44447.912499999999</v>
      </c>
      <c r="K26" s="7">
        <v>44447.976388888892</v>
      </c>
      <c r="L26" s="9">
        <f t="shared" si="62"/>
        <v>6.3888888893416151E-2</v>
      </c>
      <c r="M26" s="9">
        <v>275.14999999999998</v>
      </c>
      <c r="N26" s="29">
        <v>1553.171</v>
      </c>
      <c r="O26" s="29">
        <v>128.083</v>
      </c>
      <c r="P26" s="14">
        <f t="shared" si="2"/>
        <v>21.848545228770011</v>
      </c>
      <c r="Q26" s="41">
        <f t="shared" si="33"/>
        <v>33.501102686487954</v>
      </c>
      <c r="R26" s="6"/>
      <c r="S26" s="30">
        <v>0.5493055555555556</v>
      </c>
      <c r="T26" s="9">
        <f t="shared" si="63"/>
        <v>0.5493055555555556</v>
      </c>
      <c r="U26" s="9">
        <v>275.14999999999998</v>
      </c>
      <c r="V26">
        <v>3017.4430000000002</v>
      </c>
      <c r="W26">
        <v>342.21199999999999</v>
      </c>
      <c r="X26" s="14">
        <f t="shared" si="4"/>
        <v>4.936892502501725</v>
      </c>
      <c r="Y26" s="36">
        <f t="shared" si="34"/>
        <v>65.08469949131441</v>
      </c>
      <c r="Z26" s="7">
        <v>44448.589583333334</v>
      </c>
      <c r="AA26" s="7">
        <v>44449.712500000001</v>
      </c>
      <c r="AB26" s="9">
        <f t="shared" si="35"/>
        <v>1.1229166666671517</v>
      </c>
      <c r="AC26">
        <v>278.97624999999999</v>
      </c>
      <c r="AD26">
        <v>1025.0060000000001</v>
      </c>
      <c r="AE26">
        <v>24.916</v>
      </c>
      <c r="AF26" s="14">
        <f t="shared" si="5"/>
        <v>0.80911406756683568</v>
      </c>
      <c r="AG26" s="41">
        <f t="shared" si="36"/>
        <v>21.80562412093564</v>
      </c>
      <c r="AH26" s="7">
        <v>44449.73333333333</v>
      </c>
      <c r="AI26" s="21">
        <v>44451.879861111112</v>
      </c>
      <c r="AJ26" s="9">
        <f t="shared" si="64"/>
        <v>2.1465277777824667</v>
      </c>
      <c r="AK26" s="9">
        <v>275.30391666666662</v>
      </c>
      <c r="AL26">
        <v>722.94899999999996</v>
      </c>
      <c r="AM26">
        <v>4.5999999999999996</v>
      </c>
      <c r="AN26" s="14">
        <f t="shared" si="7"/>
        <v>0.30252193027719526</v>
      </c>
      <c r="AO26" s="41">
        <f t="shared" si="37"/>
        <v>15.584921441480887</v>
      </c>
      <c r="AP26" s="21">
        <v>44451.895138888889</v>
      </c>
      <c r="AQ26" s="21">
        <v>44453.78125</v>
      </c>
      <c r="AR26" s="9">
        <f t="shared" si="38"/>
        <v>1.8861111111109494</v>
      </c>
      <c r="AS26" s="9">
        <v>275.34574999999995</v>
      </c>
      <c r="AT26">
        <v>517.50400000000002</v>
      </c>
      <c r="AU26">
        <v>0.03</v>
      </c>
      <c r="AV26" s="14">
        <f t="shared" si="8"/>
        <v>0.24641444587312145</v>
      </c>
      <c r="AW26" s="41">
        <f t="shared" si="39"/>
        <v>11.154360583189009</v>
      </c>
      <c r="AX26" s="21">
        <v>44453.801388888889</v>
      </c>
      <c r="AY26" s="21">
        <v>44456.604861111111</v>
      </c>
      <c r="AZ26" s="9">
        <f t="shared" si="65"/>
        <v>2.8034722222218988</v>
      </c>
      <c r="BA26" s="9">
        <v>275.28258333333332</v>
      </c>
      <c r="BB26">
        <v>488.05399999999997</v>
      </c>
      <c r="BC26">
        <v>1.7</v>
      </c>
      <c r="BD26" s="14">
        <f t="shared" si="10"/>
        <v>0.15638352149072102</v>
      </c>
      <c r="BE26" s="41">
        <f t="shared" si="40"/>
        <v>10.522004604299466</v>
      </c>
      <c r="BF26" s="21">
        <v>44456.654861111114</v>
      </c>
      <c r="BG26" s="21">
        <v>44459.664583333331</v>
      </c>
      <c r="BH26" s="9">
        <f t="shared" si="41"/>
        <v>3.0097222222175333</v>
      </c>
      <c r="BI26" s="9">
        <v>274.02612499999998</v>
      </c>
      <c r="BJ26">
        <v>202.04900000000001</v>
      </c>
      <c r="BK26">
        <v>0.41099999999999998</v>
      </c>
      <c r="BL26" s="14">
        <f t="shared" si="11"/>
        <v>6.0580998272814539E-2</v>
      </c>
      <c r="BM26" s="41">
        <f t="shared" si="42"/>
        <v>4.3759674418994861</v>
      </c>
      <c r="BN26" s="21">
        <v>44459.831250000003</v>
      </c>
      <c r="BO26" s="21">
        <v>44461.650694444441</v>
      </c>
      <c r="BP26" s="9">
        <f t="shared" si="66"/>
        <v>1.8194444444379769</v>
      </c>
      <c r="BQ26" s="9">
        <v>276.14041666666662</v>
      </c>
      <c r="BR26">
        <v>291.67</v>
      </c>
      <c r="BS26">
        <v>0.74099999999999999</v>
      </c>
      <c r="BT26" s="14">
        <f t="shared" si="13"/>
        <v>0.14355591480602628</v>
      </c>
      <c r="BU26" s="41">
        <f t="shared" si="43"/>
        <v>6.2686082798408647</v>
      </c>
      <c r="BV26" s="21">
        <v>44461.679861111108</v>
      </c>
      <c r="BW26" s="21">
        <v>44466.587500000001</v>
      </c>
      <c r="BX26" s="9">
        <f t="shared" si="67"/>
        <v>4.9076388888934162</v>
      </c>
      <c r="BY26" s="9">
        <v>276.28674999999998</v>
      </c>
      <c r="BZ26">
        <v>451.512</v>
      </c>
      <c r="CA26">
        <v>1.89</v>
      </c>
      <c r="CB26" s="14">
        <f t="shared" si="14"/>
        <v>8.2344528029620251E-2</v>
      </c>
      <c r="CC26" s="41">
        <f t="shared" si="45"/>
        <v>9.698812993097718</v>
      </c>
      <c r="CD26" s="21">
        <v>44466.62777777778</v>
      </c>
      <c r="CE26" s="21">
        <v>44473.62222222222</v>
      </c>
      <c r="CF26" s="9">
        <f t="shared" si="68"/>
        <v>6.9944444444408873</v>
      </c>
      <c r="CG26" s="9">
        <v>276.3075833333333</v>
      </c>
      <c r="CH26">
        <v>1609.3219999999999</v>
      </c>
      <c r="CI26">
        <v>1.03</v>
      </c>
      <c r="CJ26" s="14">
        <f t="shared" si="16"/>
        <v>0.20591833753119784</v>
      </c>
      <c r="CK26" s="41">
        <f t="shared" si="46"/>
        <v>34.566824926886163</v>
      </c>
      <c r="CL26" s="21">
        <v>44473.633333333331</v>
      </c>
      <c r="CM26" s="21">
        <v>44477.634027777778</v>
      </c>
      <c r="CN26" s="9">
        <f t="shared" si="69"/>
        <v>4.0006944444467081</v>
      </c>
      <c r="CO26" s="9">
        <v>276.45387499999998</v>
      </c>
      <c r="CP26">
        <v>2008.316</v>
      </c>
      <c r="CQ26">
        <v>0.32400000000000001</v>
      </c>
      <c r="CR26" s="14">
        <f t="shared" si="17"/>
        <v>0.44902661941602745</v>
      </c>
      <c r="CS26" s="41">
        <f t="shared" si="48"/>
        <v>43.114039240953296</v>
      </c>
      <c r="CT26" s="21">
        <v>44477.722222222219</v>
      </c>
      <c r="CU26" s="21">
        <v>44483.569444444445</v>
      </c>
      <c r="CV26" s="9">
        <f t="shared" si="70"/>
        <v>5.8472222222262644</v>
      </c>
      <c r="CW26" s="9">
        <v>277.06033333333329</v>
      </c>
      <c r="CX26">
        <v>3053.0079999999998</v>
      </c>
      <c r="CY26">
        <v>0.36099999999999999</v>
      </c>
      <c r="CZ26" s="14">
        <f t="shared" si="19"/>
        <v>0.46601735969267666</v>
      </c>
      <c r="DA26" s="41">
        <f t="shared" si="49"/>
        <v>65.397769476917503</v>
      </c>
      <c r="DB26" s="21">
        <v>44483.71875</v>
      </c>
      <c r="DC26" s="21">
        <v>44491.598611111112</v>
      </c>
      <c r="DD26" s="9">
        <f t="shared" si="71"/>
        <v>7.8798611111124046</v>
      </c>
      <c r="DE26" s="9">
        <v>277.24849999999998</v>
      </c>
      <c r="DF26">
        <v>2956.2730000000001</v>
      </c>
      <c r="DG26">
        <v>0.34499999999999997</v>
      </c>
      <c r="DH26" s="14">
        <f t="shared" si="20"/>
        <v>0.33462229497942547</v>
      </c>
      <c r="DI26" s="41">
        <f t="shared" si="51"/>
        <v>63.282653018869404</v>
      </c>
      <c r="DJ26" s="21">
        <v>44491.650694444441</v>
      </c>
      <c r="DK26" s="21">
        <v>44498.645138888889</v>
      </c>
      <c r="DL26" s="9">
        <f t="shared" si="72"/>
        <v>6.9944444444481633</v>
      </c>
      <c r="DM26" s="9">
        <v>276.97687499999995</v>
      </c>
      <c r="DN26">
        <v>2024.817</v>
      </c>
      <c r="DO26">
        <v>0.254</v>
      </c>
      <c r="DP26" s="14">
        <f t="shared" si="22"/>
        <v>0.25845631432936184</v>
      </c>
      <c r="DQ26" s="41">
        <f t="shared" si="52"/>
        <v>43.386199965445272</v>
      </c>
      <c r="DR26" s="21">
        <v>44498.686111111114</v>
      </c>
      <c r="DS26" s="21">
        <v>44505.605555555558</v>
      </c>
      <c r="DT26" s="9">
        <f t="shared" si="53"/>
        <v>6.9194444444437977</v>
      </c>
      <c r="DU26" s="9">
        <v>276.60066666666665</v>
      </c>
      <c r="DV26">
        <v>1713.8610000000001</v>
      </c>
      <c r="DW26">
        <v>0.22500000000000001</v>
      </c>
      <c r="DX26" s="14">
        <f t="shared" si="23"/>
        <v>0.22143652191852603</v>
      </c>
      <c r="DY26" s="41">
        <f t="shared" si="54"/>
        <v>36.773225073266453</v>
      </c>
      <c r="DZ26" s="21">
        <v>44505.647222222222</v>
      </c>
      <c r="EA26" s="21">
        <v>44512.648611111108</v>
      </c>
      <c r="EB26" s="9">
        <f t="shared" si="73"/>
        <v>7.0013888888861402</v>
      </c>
      <c r="EC26" s="9">
        <v>277.08091666666667</v>
      </c>
      <c r="ED26">
        <v>1708.1130000000001</v>
      </c>
      <c r="EE26">
        <v>0.19500000000000001</v>
      </c>
      <c r="EF26" s="14">
        <f t="shared" si="25"/>
        <v>0.21773281411444312</v>
      </c>
      <c r="EG26" s="41">
        <f t="shared" si="55"/>
        <v>36.586370531682562</v>
      </c>
      <c r="EH26" s="21">
        <v>44512.676388888889</v>
      </c>
      <c r="EI26" s="21">
        <v>44521.699305555558</v>
      </c>
      <c r="EJ26" s="9">
        <f t="shared" si="56"/>
        <v>9.0229166666686069</v>
      </c>
      <c r="EK26" s="9">
        <v>276.87229166666663</v>
      </c>
      <c r="EL26">
        <v>2220.056</v>
      </c>
      <c r="EM26">
        <v>0.23400000000000001</v>
      </c>
      <c r="EN26" s="14">
        <f t="shared" si="26"/>
        <v>0.2197533944661558</v>
      </c>
      <c r="EO26" s="41">
        <f t="shared" si="57"/>
        <v>47.587597571656268</v>
      </c>
      <c r="EP26" s="21">
        <v>44521.732638888891</v>
      </c>
      <c r="EQ26" s="21">
        <v>44530.603472222225</v>
      </c>
      <c r="ER26" s="9">
        <f t="shared" si="74"/>
        <v>8.8708333333343035</v>
      </c>
      <c r="ES26" s="9">
        <v>276.64249999999998</v>
      </c>
      <c r="ET26">
        <v>2012.1559999999999</v>
      </c>
      <c r="EU26">
        <v>0.188</v>
      </c>
      <c r="EV26" s="14">
        <f t="shared" si="28"/>
        <v>0.20275726860415033</v>
      </c>
      <c r="EW26" s="41">
        <f t="shared" si="58"/>
        <v>43.167022485828326</v>
      </c>
      <c r="EX26" s="21">
        <v>44530.72152777778</v>
      </c>
      <c r="EY26" s="21">
        <v>44539.625</v>
      </c>
      <c r="EZ26" s="9">
        <f t="shared" si="75"/>
        <v>8.9034722222204437</v>
      </c>
      <c r="FA26" s="9">
        <v>276.01466666666664</v>
      </c>
      <c r="FB26">
        <v>2028.721</v>
      </c>
      <c r="FC26">
        <v>0.185</v>
      </c>
      <c r="FD26" s="14">
        <f t="shared" si="30"/>
        <v>0.20414035290565727</v>
      </c>
      <c r="FE26" s="41">
        <f t="shared" si="59"/>
        <v>43.621391076715149</v>
      </c>
      <c r="FF26" s="21">
        <v>44539.674305555556</v>
      </c>
      <c r="FG26" s="21">
        <v>44543.55972222222</v>
      </c>
      <c r="FH26" s="9">
        <f t="shared" si="60"/>
        <v>3.8854166666642413</v>
      </c>
      <c r="FI26" s="9">
        <v>276.78899999999999</v>
      </c>
      <c r="FJ26">
        <v>904.22699999999998</v>
      </c>
      <c r="FK26">
        <v>8.2000000000000003E-2</v>
      </c>
      <c r="FL26" s="14">
        <f t="shared" si="31"/>
        <v>0.20791659292149245</v>
      </c>
      <c r="FM26" s="36">
        <f t="shared" si="61"/>
        <v>19.388222289917067</v>
      </c>
      <c r="FN26" s="7"/>
      <c r="FO26" s="9"/>
      <c r="FR26" s="14"/>
      <c r="FS26" s="7"/>
      <c r="FT26" s="7"/>
      <c r="FU26" s="9"/>
      <c r="FX26" s="14"/>
      <c r="FY26" s="7"/>
      <c r="FZ26" s="7"/>
      <c r="GA26" s="9"/>
      <c r="GD26" s="14"/>
      <c r="GE26" s="7"/>
      <c r="GF26" s="7"/>
      <c r="GG26" s="9"/>
      <c r="GJ26" s="14"/>
      <c r="GK26" s="7"/>
      <c r="GL26" s="7"/>
      <c r="GM26" s="9"/>
      <c r="GP26" s="14"/>
      <c r="GQ26" s="7"/>
      <c r="GR26" s="7"/>
      <c r="GS26" s="9"/>
      <c r="GV26" s="14"/>
      <c r="GW26" s="7"/>
      <c r="GX26" s="7"/>
      <c r="GY26" s="9"/>
      <c r="HB26" s="14"/>
      <c r="HC26" s="7"/>
      <c r="HD26" s="7"/>
      <c r="HE26" s="9"/>
      <c r="HH26" s="14"/>
      <c r="HI26" s="7"/>
      <c r="HJ26" s="7"/>
      <c r="HK26" s="9"/>
      <c r="HN26" s="14"/>
      <c r="HO26" s="7"/>
      <c r="HP26" s="7"/>
      <c r="HQ26" s="9"/>
      <c r="HT26" s="14"/>
      <c r="HU26" s="7"/>
      <c r="HV26" s="7"/>
      <c r="HW26" s="9"/>
      <c r="HZ26" s="14"/>
      <c r="IA26" s="7"/>
      <c r="IB26" s="7"/>
      <c r="IC26" s="9"/>
      <c r="IF26" s="14"/>
      <c r="IG26" s="7"/>
      <c r="IH26" s="7"/>
      <c r="II26" s="9"/>
      <c r="IL26" s="14"/>
    </row>
    <row r="27" spans="1:246" ht="18" x14ac:dyDescent="0.2">
      <c r="D27" s="28"/>
      <c r="J27" s="6"/>
      <c r="K27" s="7"/>
      <c r="L27" s="9"/>
      <c r="M27" s="9"/>
      <c r="O27" s="9"/>
      <c r="P27" s="14"/>
      <c r="Q27" s="41"/>
      <c r="R27" s="6"/>
      <c r="S27" s="7"/>
      <c r="T27" s="9"/>
      <c r="U27" s="9"/>
      <c r="X27" s="14"/>
      <c r="Y27" s="41"/>
      <c r="Z27" s="7"/>
      <c r="AA27" s="7"/>
      <c r="AB27" s="9"/>
      <c r="AC27" s="9"/>
      <c r="AF27" s="14"/>
      <c r="AG27" s="41"/>
      <c r="AH27" s="7"/>
      <c r="AI27" s="7"/>
      <c r="AJ27" s="9"/>
      <c r="AK27" s="9"/>
      <c r="AN27" s="14"/>
      <c r="AO27" s="41"/>
      <c r="AP27" s="7"/>
      <c r="AQ27" s="7"/>
      <c r="AR27" s="9"/>
      <c r="AS27" s="9"/>
      <c r="AV27" s="14"/>
      <c r="AW27" s="15"/>
      <c r="AX27" s="7"/>
      <c r="AY27" s="7"/>
      <c r="AZ27" s="9"/>
      <c r="BA27" s="9"/>
      <c r="BD27" s="14"/>
      <c r="BE27" s="15"/>
      <c r="BF27" s="7"/>
      <c r="BG27" s="7"/>
      <c r="BH27" s="9"/>
      <c r="BI27" s="9"/>
      <c r="BL27" s="14"/>
      <c r="BM27" s="15"/>
      <c r="BN27" s="7"/>
      <c r="BO27" s="7"/>
      <c r="BP27" s="9"/>
      <c r="BQ27" s="9"/>
      <c r="BT27" s="14"/>
      <c r="BU27" s="41"/>
      <c r="BV27" s="7"/>
      <c r="BW27" s="7"/>
      <c r="BX27" s="9"/>
      <c r="BY27" s="9"/>
      <c r="CB27" s="14"/>
      <c r="CC27" s="15"/>
      <c r="CD27" s="7"/>
      <c r="CE27" s="7"/>
      <c r="CF27" s="9"/>
      <c r="CG27" s="9"/>
      <c r="CJ27" s="14"/>
      <c r="CK27" s="41"/>
      <c r="CL27" s="7"/>
      <c r="CM27" s="7"/>
      <c r="CN27" s="9"/>
      <c r="CO27" s="9"/>
      <c r="CR27" s="14"/>
      <c r="CS27" s="15"/>
      <c r="CT27" s="7"/>
      <c r="CU27" s="7"/>
      <c r="CV27" s="9"/>
      <c r="CW27" s="9"/>
      <c r="CZ27" s="14"/>
      <c r="DA27" s="41"/>
      <c r="DB27" s="7"/>
      <c r="DC27" s="7"/>
      <c r="DD27" s="9"/>
      <c r="DE27" s="9"/>
      <c r="DH27" s="14"/>
      <c r="DI27" s="15"/>
      <c r="DJ27" s="7"/>
      <c r="DK27" s="7"/>
      <c r="DL27" s="9"/>
      <c r="DM27" s="9"/>
      <c r="DP27" s="14"/>
      <c r="DQ27" s="15"/>
      <c r="DR27" s="7"/>
      <c r="DS27" s="7"/>
      <c r="DT27" s="9"/>
      <c r="DU27" s="9"/>
      <c r="DX27" s="14"/>
      <c r="DY27" s="15"/>
      <c r="DZ27" s="7"/>
      <c r="EA27" s="7"/>
      <c r="EB27" s="9"/>
      <c r="EC27" s="9"/>
      <c r="EF27" s="14"/>
      <c r="EG27" s="15"/>
      <c r="EH27" s="7"/>
      <c r="EI27" s="7"/>
      <c r="EJ27" s="9"/>
      <c r="EK27" s="9"/>
      <c r="EN27" s="14"/>
      <c r="EO27" s="15"/>
      <c r="EP27" s="7"/>
      <c r="EQ27" s="7"/>
      <c r="ER27" s="9"/>
      <c r="ES27" s="9"/>
      <c r="EV27" s="14"/>
      <c r="EW27" s="15"/>
      <c r="EX27" s="7"/>
      <c r="EY27" s="7"/>
      <c r="EZ27" s="9"/>
      <c r="FA27" s="9"/>
      <c r="FD27" s="14"/>
      <c r="FE27" s="15"/>
      <c r="FF27" s="7"/>
      <c r="FG27" s="7"/>
      <c r="FH27" s="9"/>
      <c r="FI27" s="9"/>
      <c r="FL27" s="14"/>
      <c r="FM27" s="7"/>
      <c r="FN27" s="7"/>
      <c r="FO27" s="9"/>
      <c r="FR27" s="14"/>
      <c r="FS27" s="7"/>
      <c r="FT27" s="7"/>
      <c r="FU27" s="9"/>
      <c r="FX27" s="14"/>
      <c r="FY27" s="7"/>
      <c r="FZ27" s="7"/>
      <c r="GA27" s="9"/>
      <c r="GD27" s="14"/>
      <c r="GE27" s="7"/>
      <c r="GF27" s="7"/>
      <c r="GG27" s="9"/>
      <c r="GJ27" s="14"/>
      <c r="GK27" s="7"/>
      <c r="GL27" s="7"/>
      <c r="GM27" s="9"/>
      <c r="GP27" s="14"/>
      <c r="GQ27" s="7"/>
      <c r="GR27" s="7"/>
      <c r="GS27" s="9"/>
      <c r="GV27" s="14"/>
      <c r="GW27" s="7"/>
      <c r="GX27" s="7"/>
      <c r="GY27" s="9"/>
      <c r="HB27" s="14"/>
      <c r="HC27" s="7"/>
      <c r="HD27" s="7"/>
      <c r="HE27" s="9"/>
      <c r="HH27" s="14"/>
      <c r="HI27" s="7"/>
      <c r="HJ27" s="7"/>
      <c r="HK27" s="9"/>
      <c r="HN27" s="14"/>
      <c r="HO27" s="7"/>
      <c r="HP27" s="7"/>
      <c r="HQ27" s="9"/>
      <c r="HT27" s="14"/>
      <c r="HU27" s="7"/>
      <c r="HV27" s="7"/>
      <c r="HW27" s="9"/>
      <c r="HZ27" s="14"/>
      <c r="IA27" s="7"/>
      <c r="IB27" s="7"/>
      <c r="IC27" s="9"/>
      <c r="IF27" s="14"/>
      <c r="IG27" s="7"/>
      <c r="IH27" s="7"/>
      <c r="II27" s="9"/>
      <c r="IL27" s="14"/>
    </row>
    <row r="28" spans="1:246" ht="18" x14ac:dyDescent="0.2">
      <c r="D28" s="28"/>
      <c r="J28" s="6"/>
      <c r="K28" s="7"/>
      <c r="L28" s="9"/>
      <c r="M28" s="9"/>
      <c r="P28" s="14"/>
      <c r="Q28" s="41"/>
      <c r="R28" s="6"/>
      <c r="S28" s="7"/>
      <c r="T28" s="9"/>
      <c r="U28" s="9"/>
      <c r="X28" s="14"/>
      <c r="Y28" s="41"/>
      <c r="Z28" s="7"/>
      <c r="AA28" s="7"/>
      <c r="AB28" s="9"/>
      <c r="AC28" s="9"/>
      <c r="AF28" s="14"/>
      <c r="AG28" s="41"/>
      <c r="AH28" s="7"/>
      <c r="AI28" s="7"/>
      <c r="AJ28" s="9"/>
      <c r="AK28" s="9"/>
      <c r="AN28" s="14"/>
      <c r="AO28" s="41"/>
      <c r="AP28" s="7"/>
      <c r="AQ28" s="7"/>
      <c r="AR28" s="9"/>
      <c r="AS28" s="9"/>
      <c r="AV28" s="14"/>
      <c r="AW28" s="15"/>
      <c r="AX28" s="7"/>
      <c r="AY28" s="7"/>
      <c r="AZ28" s="9"/>
      <c r="BA28" s="9"/>
      <c r="BD28" s="14"/>
      <c r="BE28" s="15"/>
      <c r="BF28" s="7"/>
      <c r="BG28" s="7"/>
      <c r="BH28" s="9"/>
      <c r="BI28" s="9"/>
      <c r="BL28" s="14"/>
      <c r="BM28" s="15"/>
      <c r="BN28" s="7"/>
      <c r="BO28" s="7"/>
      <c r="BP28" s="9"/>
      <c r="BQ28" s="9"/>
      <c r="BT28" s="14"/>
      <c r="BU28" s="41"/>
      <c r="BV28" s="7"/>
      <c r="BW28" s="7"/>
      <c r="BX28" s="9"/>
      <c r="BY28" s="9"/>
      <c r="CB28" s="14"/>
      <c r="CC28" s="15"/>
      <c r="CD28" s="7"/>
      <c r="CE28" s="7"/>
      <c r="CF28" s="9"/>
      <c r="CG28" s="9"/>
      <c r="CJ28" s="14"/>
      <c r="CK28" s="41"/>
      <c r="CL28" s="7"/>
      <c r="CM28" s="7"/>
      <c r="CN28" s="9"/>
      <c r="CO28" s="9"/>
      <c r="CR28" s="14"/>
      <c r="CS28" s="15"/>
      <c r="CT28" s="7"/>
      <c r="CU28" s="7"/>
      <c r="CV28" s="9"/>
      <c r="CW28" s="9"/>
      <c r="CZ28" s="14"/>
      <c r="DA28" s="41"/>
      <c r="DB28" s="7"/>
      <c r="DC28" s="7"/>
      <c r="DD28" s="9"/>
      <c r="DE28" s="9"/>
      <c r="DH28" s="14"/>
      <c r="DI28" s="15"/>
      <c r="DJ28" s="7"/>
      <c r="DK28" s="7"/>
      <c r="DL28" s="9"/>
      <c r="DM28" s="9"/>
      <c r="DP28" s="14"/>
      <c r="DQ28" s="15"/>
      <c r="DR28" s="7"/>
      <c r="DS28" s="7"/>
      <c r="DT28" s="9"/>
      <c r="DU28" s="9"/>
      <c r="DX28" s="14"/>
      <c r="DY28" s="15"/>
      <c r="DZ28" s="7"/>
      <c r="EA28" s="7"/>
      <c r="EB28" s="9"/>
      <c r="EC28" s="9"/>
      <c r="EF28" s="14"/>
      <c r="EG28" s="15"/>
      <c r="EH28" s="7"/>
      <c r="EI28" s="7"/>
      <c r="EJ28" s="9"/>
      <c r="EK28" s="9"/>
      <c r="EN28" s="14"/>
      <c r="EO28" s="15"/>
      <c r="EP28" s="7"/>
      <c r="EQ28" s="7"/>
      <c r="ER28" s="9"/>
      <c r="ES28" s="9"/>
      <c r="EV28" s="14"/>
      <c r="EW28" s="15"/>
      <c r="EX28" s="7"/>
      <c r="EY28" s="7"/>
      <c r="EZ28" s="9"/>
      <c r="FA28" s="9"/>
      <c r="FD28" s="14"/>
      <c r="FE28" s="15"/>
      <c r="FF28" s="7"/>
      <c r="FG28" s="7"/>
      <c r="FH28" s="9"/>
      <c r="FI28" s="9"/>
      <c r="FL28" s="14"/>
      <c r="FM28" s="7"/>
      <c r="FN28" s="7"/>
      <c r="FO28" s="9"/>
      <c r="FR28" s="14"/>
      <c r="FS28" s="7"/>
      <c r="FT28" s="7"/>
      <c r="FU28" s="9"/>
      <c r="FX28" s="14"/>
      <c r="FY28" s="7"/>
      <c r="FZ28" s="7"/>
      <c r="GA28" s="9"/>
      <c r="GD28" s="14"/>
      <c r="GE28" s="7"/>
      <c r="GF28" s="7"/>
      <c r="GG28" s="9"/>
      <c r="GJ28" s="14"/>
      <c r="GK28" s="7"/>
      <c r="GL28" s="7"/>
      <c r="GM28" s="9"/>
      <c r="GP28" s="14"/>
      <c r="GQ28" s="7"/>
      <c r="GR28" s="7"/>
      <c r="GS28" s="9"/>
      <c r="GV28" s="14"/>
      <c r="GW28" s="7"/>
      <c r="GX28" s="7"/>
      <c r="GY28" s="9"/>
      <c r="HB28" s="14"/>
      <c r="HC28" s="7"/>
      <c r="HD28" s="7"/>
      <c r="HE28" s="9"/>
      <c r="HH28" s="14"/>
      <c r="HI28" s="7"/>
      <c r="HJ28" s="7"/>
      <c r="HK28" s="9"/>
      <c r="HN28" s="14"/>
      <c r="HO28" s="7"/>
      <c r="HP28" s="7"/>
      <c r="HQ28" s="9"/>
      <c r="HT28" s="14"/>
      <c r="HU28" s="7"/>
      <c r="HV28" s="7"/>
      <c r="HW28" s="9"/>
      <c r="HZ28" s="14"/>
      <c r="IA28" s="7"/>
      <c r="IB28" s="7"/>
      <c r="IC28" s="9"/>
      <c r="IF28" s="14"/>
      <c r="IG28" s="7"/>
      <c r="IH28" s="7"/>
      <c r="II28" s="9"/>
      <c r="IL28" s="14"/>
    </row>
    <row r="29" spans="1:246" ht="18" x14ac:dyDescent="0.2">
      <c r="B29" s="2"/>
      <c r="C29" s="2"/>
      <c r="D29" s="28"/>
      <c r="J29" s="6"/>
      <c r="K29" s="7"/>
      <c r="L29" s="9"/>
      <c r="M29" s="9"/>
      <c r="P29" s="14"/>
      <c r="Q29" s="41"/>
      <c r="R29" s="6"/>
      <c r="S29" s="7"/>
      <c r="T29" s="9"/>
      <c r="U29" s="9"/>
      <c r="X29" s="14"/>
      <c r="Y29" s="41"/>
      <c r="Z29" s="7"/>
      <c r="AA29" s="7"/>
      <c r="AB29" s="9"/>
      <c r="AC29" s="9"/>
      <c r="AF29" s="14"/>
      <c r="AG29" s="41"/>
      <c r="AH29" s="7"/>
      <c r="AI29" s="7"/>
      <c r="AJ29" s="9"/>
      <c r="AK29" s="9"/>
      <c r="AN29" s="14"/>
      <c r="AO29" s="41"/>
      <c r="AP29" s="7"/>
      <c r="AQ29" s="7"/>
      <c r="AR29" s="9"/>
      <c r="AS29" s="9"/>
      <c r="AV29" s="14"/>
      <c r="AW29" s="15"/>
      <c r="AX29" s="7"/>
      <c r="AY29" s="7"/>
      <c r="AZ29" s="9"/>
      <c r="BA29" s="9"/>
      <c r="BD29" s="14"/>
      <c r="BE29" s="15"/>
      <c r="BF29" s="7"/>
      <c r="BG29" s="7"/>
      <c r="BH29" s="9"/>
      <c r="BI29" s="9"/>
      <c r="BL29" s="14"/>
      <c r="BM29" s="15"/>
      <c r="BN29" s="7"/>
      <c r="BO29" s="7"/>
      <c r="BP29" s="9"/>
      <c r="BQ29" s="9"/>
      <c r="BT29" s="14"/>
      <c r="BU29" s="41"/>
      <c r="BV29" s="7"/>
      <c r="BW29" s="7"/>
      <c r="BX29" s="9"/>
      <c r="BY29" s="9"/>
      <c r="CB29" s="14"/>
      <c r="CC29" s="15"/>
      <c r="CD29" s="7"/>
      <c r="CE29" s="7"/>
      <c r="CF29" s="9"/>
      <c r="CG29" s="9"/>
      <c r="CJ29" s="14"/>
      <c r="CK29" s="41"/>
      <c r="CL29" s="7"/>
      <c r="CM29" s="7"/>
      <c r="CN29" s="9"/>
      <c r="CO29" s="9"/>
      <c r="CR29" s="14"/>
      <c r="CS29" s="15"/>
      <c r="CT29" s="7"/>
      <c r="CU29" s="7"/>
      <c r="CV29" s="9"/>
      <c r="CW29" s="9"/>
      <c r="CZ29" s="14"/>
      <c r="DA29" s="41"/>
      <c r="DB29" s="7"/>
      <c r="DC29" s="7"/>
      <c r="DD29" s="9"/>
      <c r="DE29" s="9"/>
      <c r="DH29" s="14"/>
      <c r="DI29" s="15"/>
      <c r="DJ29" s="7"/>
      <c r="DK29" s="7"/>
      <c r="DL29" s="9"/>
      <c r="DM29" s="9"/>
      <c r="DP29" s="14"/>
      <c r="DQ29" s="15"/>
      <c r="DR29" s="7"/>
      <c r="DS29" s="7"/>
      <c r="DT29" s="9"/>
      <c r="DU29" s="9"/>
      <c r="DX29" s="14"/>
      <c r="DY29" s="15"/>
      <c r="DZ29" s="7"/>
      <c r="EA29" s="7"/>
      <c r="EB29" s="9"/>
      <c r="EC29" s="9"/>
      <c r="EF29" s="14"/>
      <c r="EG29" s="15"/>
      <c r="EH29" s="7"/>
      <c r="EI29" s="21"/>
      <c r="EJ29" s="9"/>
      <c r="EK29" s="9"/>
      <c r="EL29" s="22"/>
      <c r="EM29" s="22"/>
      <c r="EN29" s="14"/>
      <c r="EO29" s="15"/>
      <c r="EP29" s="7"/>
      <c r="EQ29" s="7"/>
      <c r="ER29" s="9"/>
      <c r="ES29" s="9"/>
      <c r="EV29" s="14"/>
      <c r="EW29" s="15"/>
      <c r="EX29" s="7"/>
      <c r="EY29" s="7"/>
      <c r="EZ29" s="9"/>
      <c r="FA29" s="9"/>
      <c r="FD29" s="14"/>
      <c r="FE29" s="15"/>
      <c r="FF29" s="7"/>
      <c r="FG29" s="7"/>
      <c r="FH29" s="9"/>
      <c r="FI29" s="9"/>
      <c r="FL29" s="14"/>
      <c r="FM29" s="7"/>
      <c r="FN29" s="7"/>
      <c r="FO29" s="9"/>
      <c r="FR29" s="14"/>
      <c r="FS29" s="7"/>
      <c r="FT29" s="7"/>
      <c r="FU29" s="9"/>
      <c r="FX29" s="14"/>
      <c r="FY29" s="7"/>
      <c r="FZ29" s="7"/>
      <c r="GA29" s="9"/>
      <c r="GD29" s="14"/>
      <c r="GE29" s="7"/>
      <c r="GF29" s="7"/>
      <c r="GG29" s="9"/>
      <c r="GJ29" s="14"/>
      <c r="GK29" s="7"/>
      <c r="GL29" s="7"/>
      <c r="GM29" s="9"/>
      <c r="GP29" s="14"/>
      <c r="GQ29" s="7"/>
      <c r="GR29" s="7"/>
      <c r="GS29" s="9"/>
      <c r="GV29" s="14"/>
      <c r="GW29" s="7"/>
      <c r="GX29" s="7"/>
      <c r="GY29" s="9"/>
      <c r="HB29" s="14"/>
      <c r="HC29" s="7"/>
      <c r="HD29" s="7"/>
      <c r="HE29" s="9"/>
      <c r="HH29" s="14"/>
      <c r="HI29" s="7"/>
      <c r="HJ29" s="7"/>
      <c r="HK29" s="9"/>
      <c r="HN29" s="14"/>
      <c r="HO29" s="7"/>
      <c r="HP29" s="7"/>
      <c r="HQ29" s="9"/>
      <c r="HT29" s="14"/>
      <c r="HU29" s="7"/>
      <c r="HV29" s="7"/>
      <c r="HW29" s="9"/>
      <c r="HZ29" s="14"/>
      <c r="IA29" s="7"/>
      <c r="IB29" s="7"/>
      <c r="IC29" s="9"/>
      <c r="IF29" s="14"/>
      <c r="IG29" s="7"/>
      <c r="IH29" s="7"/>
      <c r="II29" s="9"/>
      <c r="IL29" s="14"/>
    </row>
    <row r="30" spans="1:246" ht="18" x14ac:dyDescent="0.2">
      <c r="D30" s="28"/>
      <c r="J30" s="6"/>
      <c r="K30" s="7"/>
      <c r="L30" s="9"/>
      <c r="M30" s="9"/>
      <c r="P30" s="14"/>
      <c r="Q30" s="41"/>
      <c r="R30" s="6"/>
      <c r="S30" s="8"/>
      <c r="T30" s="9"/>
      <c r="U30" s="9"/>
      <c r="X30" s="14"/>
      <c r="Y30" s="41"/>
      <c r="Z30" s="6"/>
      <c r="AA30" s="7"/>
      <c r="AB30" s="9"/>
      <c r="AC30" s="9"/>
      <c r="AF30" s="14"/>
      <c r="AG30" s="41"/>
      <c r="AH30" s="7"/>
      <c r="AI30" s="7"/>
      <c r="AJ30" s="9"/>
      <c r="AK30" s="9"/>
      <c r="AN30" s="14"/>
      <c r="AO30" s="41"/>
      <c r="AP30" s="12"/>
      <c r="AQ30" s="7"/>
      <c r="AR30" s="9"/>
      <c r="AS30" s="9"/>
      <c r="AV30" s="14"/>
      <c r="AW30" s="15"/>
      <c r="AX30" s="7"/>
      <c r="AY30" s="7"/>
      <c r="AZ30" s="9"/>
      <c r="BA30" s="9"/>
      <c r="BD30" s="14"/>
      <c r="BE30" s="15"/>
      <c r="BF30" s="7"/>
      <c r="BG30" s="7"/>
      <c r="BH30" s="9"/>
      <c r="BI30" s="9"/>
      <c r="BL30" s="14"/>
      <c r="BM30" s="15"/>
      <c r="BN30" s="7"/>
      <c r="BO30" s="7"/>
      <c r="BP30" s="9"/>
      <c r="BQ30" s="9"/>
      <c r="BT30" s="14"/>
      <c r="BU30" s="41"/>
      <c r="BV30" s="7"/>
      <c r="BW30" s="7"/>
      <c r="BX30" s="9"/>
      <c r="BY30" s="9"/>
      <c r="CB30" s="14"/>
      <c r="CC30" s="15"/>
      <c r="CD30" s="7"/>
      <c r="CE30" s="7"/>
      <c r="CF30" s="9"/>
      <c r="CG30" s="9"/>
      <c r="CJ30" s="14"/>
      <c r="CK30" s="41"/>
      <c r="CL30" s="7"/>
      <c r="CM30" s="7"/>
      <c r="CN30" s="9"/>
      <c r="CO30" s="9"/>
      <c r="CR30" s="14"/>
      <c r="CS30" s="15"/>
      <c r="CT30" s="7"/>
      <c r="CU30" s="7"/>
      <c r="CV30" s="9"/>
      <c r="CW30" s="9"/>
      <c r="CZ30" s="14"/>
      <c r="DA30" s="41"/>
      <c r="DB30" s="7"/>
      <c r="DC30" s="7"/>
      <c r="DD30" s="9"/>
      <c r="DE30" s="9"/>
      <c r="DH30" s="14"/>
      <c r="DI30" s="15"/>
      <c r="DJ30" s="7"/>
      <c r="DK30" s="7"/>
      <c r="DL30" s="9"/>
      <c r="DM30" s="9"/>
      <c r="DP30" s="14"/>
      <c r="DQ30" s="15"/>
      <c r="DR30" s="7"/>
      <c r="DS30" s="7"/>
      <c r="DT30" s="9"/>
      <c r="DU30" s="9"/>
      <c r="DX30" s="14"/>
      <c r="DY30" s="15"/>
      <c r="DZ30" s="7"/>
      <c r="EA30" s="7"/>
      <c r="EB30" s="9"/>
      <c r="EC30" s="9"/>
      <c r="EF30" s="14"/>
      <c r="EG30" s="15"/>
      <c r="EH30" s="7"/>
      <c r="EI30" s="7"/>
      <c r="EJ30" s="9"/>
      <c r="EK30" s="9"/>
      <c r="EN30" s="14"/>
      <c r="EO30" s="15"/>
      <c r="EP30" s="7"/>
      <c r="EQ30" s="7"/>
      <c r="ER30" s="9"/>
      <c r="ES30" s="9"/>
      <c r="EV30" s="14"/>
      <c r="EW30" s="15"/>
      <c r="EX30" s="7"/>
      <c r="EY30" s="7"/>
      <c r="EZ30" s="9"/>
      <c r="FA30" s="9"/>
      <c r="FD30" s="14"/>
      <c r="FE30" s="15"/>
      <c r="FF30" s="7"/>
      <c r="FG30" s="7"/>
      <c r="FH30" s="9"/>
      <c r="FI30" s="9"/>
      <c r="FL30" s="14"/>
      <c r="FM30" s="7"/>
      <c r="FN30" s="7"/>
      <c r="FO30" s="9"/>
      <c r="FR30" s="14"/>
      <c r="FS30" s="7"/>
      <c r="FT30" s="7"/>
      <c r="FU30" s="9"/>
      <c r="FX30" s="14"/>
      <c r="FY30" s="7"/>
      <c r="FZ30" s="7"/>
      <c r="GA30" s="9"/>
      <c r="GD30" s="14"/>
      <c r="GE30" s="7"/>
      <c r="GF30" s="7"/>
      <c r="GG30" s="9"/>
      <c r="GJ30" s="14"/>
      <c r="GK30" s="7"/>
      <c r="GL30" s="7"/>
      <c r="GM30" s="9"/>
      <c r="GP30" s="14"/>
      <c r="GQ30" s="7"/>
      <c r="GR30" s="7"/>
      <c r="GS30" s="9"/>
      <c r="GV30" s="14"/>
      <c r="GW30" s="7"/>
      <c r="GX30" s="7"/>
      <c r="GY30" s="9"/>
      <c r="HB30" s="14"/>
      <c r="HC30" s="7"/>
      <c r="HD30" s="7"/>
      <c r="HE30" s="9"/>
      <c r="HH30" s="14"/>
      <c r="HI30" s="7"/>
      <c r="HJ30" s="7"/>
      <c r="HK30" s="9"/>
      <c r="HN30" s="14"/>
      <c r="HO30" s="7"/>
      <c r="HP30" s="7"/>
      <c r="HQ30" s="9"/>
      <c r="HT30" s="14"/>
      <c r="HU30" s="7"/>
      <c r="HV30" s="7"/>
      <c r="HW30" s="9"/>
      <c r="HZ30" s="14"/>
      <c r="IA30" s="7"/>
      <c r="IB30" s="7"/>
      <c r="IC30" s="9"/>
      <c r="IF30" s="14"/>
      <c r="IG30" s="7"/>
      <c r="IH30" s="7"/>
      <c r="II30" s="9"/>
      <c r="IL30" s="14"/>
    </row>
    <row r="31" spans="1:246" ht="18" x14ac:dyDescent="0.2">
      <c r="D31" s="28"/>
      <c r="J31" s="6"/>
      <c r="K31" s="7"/>
      <c r="L31" s="9"/>
      <c r="M31" s="9"/>
      <c r="P31" s="14"/>
      <c r="Q31" s="41"/>
      <c r="R31" s="6"/>
      <c r="S31" s="8"/>
      <c r="T31" s="9"/>
      <c r="U31" s="9"/>
      <c r="X31" s="14"/>
      <c r="Y31" s="41"/>
      <c r="Z31" s="6"/>
      <c r="AA31" s="7"/>
      <c r="AB31" s="9"/>
      <c r="AC31" s="9"/>
      <c r="AF31" s="14"/>
      <c r="AG31" s="41"/>
      <c r="AH31" s="7"/>
      <c r="AI31" s="7"/>
      <c r="AJ31" s="9"/>
      <c r="AK31" s="9"/>
      <c r="AN31" s="14"/>
      <c r="AO31" s="41"/>
      <c r="AP31" s="12"/>
      <c r="AQ31" s="7"/>
      <c r="AR31" s="9"/>
      <c r="AS31" s="9"/>
      <c r="AV31" s="14"/>
      <c r="AW31" s="15"/>
      <c r="AX31" s="7"/>
      <c r="AY31" s="7"/>
      <c r="AZ31" s="9"/>
      <c r="BA31" s="9"/>
      <c r="BD31" s="14"/>
      <c r="BE31" s="15"/>
      <c r="BF31" s="7"/>
      <c r="BG31" s="7"/>
      <c r="BH31" s="9"/>
      <c r="BI31" s="9"/>
      <c r="BL31" s="14"/>
      <c r="BM31" s="15"/>
      <c r="BN31" s="7"/>
      <c r="BO31" s="7"/>
      <c r="BP31" s="9"/>
      <c r="BQ31" s="9"/>
      <c r="BT31" s="14"/>
      <c r="BU31" s="41"/>
      <c r="BV31" s="7"/>
      <c r="BW31" s="7"/>
      <c r="BX31" s="9"/>
      <c r="BY31" s="9"/>
      <c r="CB31" s="14"/>
      <c r="CC31" s="15"/>
      <c r="CD31" s="7"/>
      <c r="CE31" s="7"/>
      <c r="CF31" s="9"/>
      <c r="CG31" s="9"/>
      <c r="CJ31" s="14"/>
      <c r="CK31" s="41"/>
      <c r="CL31" s="7"/>
      <c r="CM31" s="7"/>
      <c r="CN31" s="9"/>
      <c r="CO31" s="9"/>
      <c r="CR31" s="14"/>
      <c r="CS31" s="15"/>
      <c r="CT31" s="7"/>
      <c r="CU31" s="7"/>
      <c r="CV31" s="9"/>
      <c r="CW31" s="9"/>
      <c r="CZ31" s="14"/>
      <c r="DA31" s="41"/>
      <c r="DB31" s="7"/>
      <c r="DC31" s="7"/>
      <c r="DD31" s="9"/>
      <c r="DE31" s="9"/>
      <c r="DH31" s="14"/>
      <c r="DI31" s="15"/>
      <c r="DJ31" s="7"/>
      <c r="DK31" s="7"/>
      <c r="DL31" s="9"/>
      <c r="DM31" s="9"/>
      <c r="DP31" s="14"/>
      <c r="DQ31" s="15"/>
      <c r="DR31" s="7"/>
      <c r="DS31" s="7"/>
      <c r="DT31" s="9"/>
      <c r="DU31" s="9"/>
      <c r="DX31" s="14"/>
      <c r="DY31" s="15"/>
      <c r="DZ31" s="7"/>
      <c r="EA31" s="7"/>
      <c r="EB31" s="9"/>
      <c r="EC31" s="9"/>
      <c r="EF31" s="14"/>
      <c r="EG31" s="15"/>
      <c r="EH31" s="7"/>
      <c r="EI31" s="7"/>
      <c r="EJ31" s="9"/>
      <c r="EK31" s="9"/>
      <c r="EN31" s="14"/>
      <c r="EO31" s="15"/>
      <c r="EP31" s="7"/>
      <c r="EQ31" s="7"/>
      <c r="ER31" s="9"/>
      <c r="ES31" s="9"/>
      <c r="EV31" s="14"/>
      <c r="EW31" s="15"/>
      <c r="EX31" s="7"/>
      <c r="EY31" s="7"/>
      <c r="EZ31" s="9"/>
      <c r="FA31" s="9"/>
      <c r="FD31" s="14"/>
      <c r="FE31" s="15"/>
      <c r="FF31" s="7"/>
      <c r="FG31" s="7"/>
      <c r="FH31" s="9"/>
      <c r="FI31" s="9"/>
      <c r="FL31" s="14"/>
      <c r="FM31" s="7"/>
      <c r="FN31" s="7"/>
      <c r="FO31" s="9"/>
      <c r="FR31" s="14"/>
      <c r="FS31" s="7"/>
      <c r="FT31" s="7"/>
      <c r="FU31" s="9"/>
      <c r="FX31" s="14"/>
      <c r="FY31" s="7"/>
      <c r="FZ31" s="7"/>
      <c r="GA31" s="9"/>
      <c r="GD31" s="14"/>
      <c r="GE31" s="7"/>
      <c r="GF31" s="7"/>
      <c r="GG31" s="9"/>
      <c r="GJ31" s="14"/>
      <c r="GK31" s="7"/>
      <c r="GL31" s="7"/>
      <c r="GM31" s="9"/>
      <c r="GP31" s="14"/>
      <c r="GQ31" s="7"/>
      <c r="GR31" s="7"/>
      <c r="GS31" s="9"/>
      <c r="GV31" s="14"/>
      <c r="GW31" s="7"/>
      <c r="GX31" s="7"/>
      <c r="GY31" s="9"/>
      <c r="HB31" s="14"/>
      <c r="HC31" s="7"/>
      <c r="HD31" s="7"/>
      <c r="HE31" s="9"/>
      <c r="HH31" s="14"/>
      <c r="HI31" s="7"/>
      <c r="HJ31" s="7"/>
      <c r="HK31" s="9"/>
      <c r="HN31" s="14"/>
      <c r="HO31" s="7"/>
      <c r="HP31" s="7"/>
      <c r="HQ31" s="9"/>
      <c r="HT31" s="14"/>
      <c r="HU31" s="7"/>
      <c r="HV31" s="7"/>
      <c r="HW31" s="9"/>
      <c r="HZ31" s="14"/>
      <c r="IA31" s="7"/>
      <c r="IB31" s="7"/>
      <c r="IC31" s="9"/>
      <c r="IF31" s="14"/>
      <c r="IG31" s="7"/>
      <c r="IH31" s="7"/>
      <c r="II31" s="9"/>
      <c r="IL31" s="14"/>
    </row>
    <row r="32" spans="1:246" ht="18" x14ac:dyDescent="0.2">
      <c r="D32" s="28"/>
      <c r="J32" s="6"/>
      <c r="K32" s="7"/>
      <c r="L32" s="9"/>
      <c r="M32" s="9"/>
      <c r="P32" s="14"/>
      <c r="Q32" s="41"/>
      <c r="R32" s="6"/>
      <c r="S32" s="7"/>
      <c r="T32" s="9"/>
      <c r="U32" s="9"/>
      <c r="X32" s="14"/>
      <c r="Y32" s="41"/>
      <c r="Z32" s="7"/>
      <c r="AA32" s="7"/>
      <c r="AB32" s="9"/>
      <c r="AC32" s="9"/>
      <c r="AF32" s="14"/>
      <c r="AG32" s="41"/>
      <c r="AH32" s="7"/>
      <c r="AI32" s="7"/>
      <c r="AJ32" s="9"/>
      <c r="AK32" s="9"/>
      <c r="AN32" s="14"/>
      <c r="AO32" s="41"/>
      <c r="AP32" s="7"/>
      <c r="AQ32" s="7"/>
      <c r="AR32" s="9"/>
      <c r="AS32" s="9"/>
      <c r="AV32" s="14"/>
      <c r="AW32" s="15"/>
      <c r="AX32" s="7"/>
      <c r="AY32" s="7"/>
      <c r="AZ32" s="9"/>
      <c r="BA32" s="9"/>
      <c r="BD32" s="14"/>
      <c r="BE32" s="15"/>
      <c r="BF32" s="7"/>
      <c r="BG32" s="7"/>
      <c r="BH32" s="9"/>
      <c r="BI32" s="9"/>
      <c r="BL32" s="14"/>
      <c r="BM32" s="15"/>
      <c r="BN32" s="7"/>
      <c r="BO32" s="7"/>
      <c r="BP32" s="9"/>
      <c r="BQ32" s="9"/>
      <c r="BT32" s="14"/>
      <c r="BU32" s="41"/>
      <c r="BV32" s="7"/>
      <c r="BW32" s="7"/>
      <c r="BX32" s="9"/>
      <c r="BY32" s="9"/>
      <c r="CB32" s="14"/>
      <c r="CC32" s="15"/>
      <c r="CD32" s="7"/>
      <c r="CE32" s="7"/>
      <c r="CF32" s="9"/>
      <c r="CG32" s="9"/>
      <c r="CJ32" s="14"/>
      <c r="CK32" s="41"/>
      <c r="CL32" s="7"/>
      <c r="CM32" s="7"/>
      <c r="CN32" s="9"/>
      <c r="CO32" s="9"/>
      <c r="CR32" s="14"/>
      <c r="CS32" s="15"/>
      <c r="CT32" s="7"/>
      <c r="CU32" s="7"/>
      <c r="CV32" s="9"/>
      <c r="CW32" s="9"/>
      <c r="CZ32" s="14"/>
      <c r="DA32" s="41"/>
      <c r="DB32" s="7"/>
      <c r="DC32" s="7"/>
      <c r="DD32" s="9"/>
      <c r="DE32" s="9"/>
      <c r="DH32" s="14"/>
      <c r="DI32" s="15"/>
      <c r="DJ32" s="7"/>
      <c r="DK32" s="7"/>
      <c r="DL32" s="9"/>
      <c r="DM32" s="9"/>
      <c r="DP32" s="14"/>
      <c r="DQ32" s="15"/>
      <c r="DR32" s="7"/>
      <c r="DS32" s="7"/>
      <c r="DT32" s="9"/>
      <c r="DU32" s="9"/>
      <c r="DX32" s="14"/>
      <c r="DY32" s="15"/>
      <c r="DZ32" s="7"/>
      <c r="EA32" s="7"/>
      <c r="EB32" s="9"/>
      <c r="EC32" s="9"/>
      <c r="EF32" s="14"/>
      <c r="EG32" s="15"/>
      <c r="EH32" s="7"/>
      <c r="EI32" s="7"/>
      <c r="EJ32" s="9"/>
      <c r="EK32" s="9"/>
      <c r="EN32" s="14"/>
      <c r="EO32" s="15"/>
      <c r="EP32" s="7"/>
      <c r="EQ32" s="7"/>
      <c r="ER32" s="9"/>
      <c r="ES32" s="9"/>
      <c r="EV32" s="14"/>
      <c r="EW32" s="15"/>
      <c r="EX32" s="7"/>
      <c r="EY32" s="7"/>
      <c r="EZ32" s="9"/>
      <c r="FA32" s="9"/>
      <c r="FD32" s="14"/>
      <c r="FE32" s="15"/>
      <c r="FF32" s="7"/>
      <c r="FG32" s="7"/>
      <c r="FH32" s="9"/>
      <c r="FI32" s="9"/>
      <c r="FL32" s="14"/>
      <c r="FM32" s="7"/>
      <c r="FN32" s="7"/>
      <c r="FO32" s="9"/>
      <c r="FR32" s="14"/>
      <c r="FS32" s="7"/>
      <c r="FT32" s="7"/>
      <c r="FU32" s="9"/>
      <c r="FX32" s="14"/>
      <c r="FY32" s="7"/>
      <c r="FZ32" s="7"/>
      <c r="GA32" s="9"/>
      <c r="GD32" s="14"/>
      <c r="GE32" s="7"/>
      <c r="GF32" s="7"/>
      <c r="GG32" s="9"/>
      <c r="GJ32" s="14"/>
      <c r="GK32" s="7"/>
      <c r="GL32" s="7"/>
      <c r="GM32" s="9"/>
      <c r="GP32" s="14"/>
      <c r="GQ32" s="7"/>
      <c r="GR32" s="25"/>
      <c r="GS32" s="9"/>
      <c r="GT32" s="23"/>
      <c r="GV32" s="14"/>
      <c r="GW32" s="7"/>
      <c r="GX32" s="7"/>
      <c r="GY32" s="9"/>
      <c r="HB32" s="14"/>
      <c r="HC32" s="7"/>
      <c r="HD32" s="7"/>
      <c r="HE32" s="9"/>
      <c r="HH32" s="14"/>
      <c r="HI32" s="7"/>
      <c r="HJ32" s="7"/>
      <c r="HK32" s="9"/>
      <c r="HN32" s="14"/>
      <c r="HO32" s="7"/>
      <c r="HP32" s="7"/>
      <c r="HQ32" s="9"/>
      <c r="HT32" s="14"/>
      <c r="HU32" s="7"/>
      <c r="HV32" s="7"/>
      <c r="HW32" s="9"/>
      <c r="HZ32" s="14"/>
      <c r="IA32" s="7"/>
      <c r="IB32" s="7"/>
      <c r="IC32" s="9"/>
      <c r="IF32" s="14"/>
      <c r="IG32" s="7"/>
      <c r="IH32" s="7"/>
      <c r="II32" s="9"/>
      <c r="IL32" s="14"/>
    </row>
    <row r="33" spans="4:246" ht="18" x14ac:dyDescent="0.2">
      <c r="D33" s="28"/>
      <c r="J33" s="6"/>
      <c r="K33" s="7"/>
      <c r="L33" s="9"/>
      <c r="M33" s="9"/>
      <c r="P33" s="14"/>
      <c r="Q33" s="41"/>
      <c r="R33" s="6"/>
      <c r="S33" s="7"/>
      <c r="T33" s="9"/>
      <c r="U33" s="9"/>
      <c r="X33" s="14"/>
      <c r="Y33" s="41"/>
      <c r="Z33" s="7"/>
      <c r="AA33" s="7"/>
      <c r="AB33" s="9"/>
      <c r="AC33" s="9"/>
      <c r="AF33" s="14"/>
      <c r="AG33" s="41"/>
      <c r="AH33" s="7"/>
      <c r="AI33" s="7"/>
      <c r="AJ33" s="9"/>
      <c r="AK33" s="9"/>
      <c r="AN33" s="14"/>
      <c r="AO33" s="41"/>
      <c r="AP33" s="7"/>
      <c r="AQ33" s="7"/>
      <c r="AR33" s="9"/>
      <c r="AS33" s="9"/>
      <c r="AT33" s="1"/>
      <c r="AV33" s="14"/>
      <c r="AW33" s="15"/>
      <c r="AX33" s="7"/>
      <c r="AY33" s="7"/>
      <c r="AZ33" s="9"/>
      <c r="BA33" s="9"/>
      <c r="BB33" s="1"/>
      <c r="BD33" s="14"/>
      <c r="BE33" s="15"/>
      <c r="BF33" s="7"/>
      <c r="BG33" s="7"/>
      <c r="BH33" s="9"/>
      <c r="BI33" s="9"/>
      <c r="BJ33" s="1"/>
      <c r="BL33" s="14"/>
      <c r="BM33" s="15"/>
      <c r="BN33" s="7"/>
      <c r="BO33" s="7"/>
      <c r="BP33" s="9"/>
      <c r="BQ33" s="9"/>
      <c r="BR33" s="1"/>
      <c r="BT33" s="14"/>
      <c r="BU33" s="41"/>
      <c r="BV33" s="7"/>
      <c r="BW33" s="7"/>
      <c r="BX33" s="9"/>
      <c r="BY33" s="9"/>
      <c r="BZ33" s="1"/>
      <c r="CB33" s="14"/>
      <c r="CC33" s="15"/>
      <c r="CD33" s="7"/>
      <c r="CE33" s="7"/>
      <c r="CF33" s="9"/>
      <c r="CG33" s="9"/>
      <c r="CH33" s="1"/>
      <c r="CJ33" s="14"/>
      <c r="CK33" s="41"/>
      <c r="CL33" s="7"/>
      <c r="CM33" s="7"/>
      <c r="CN33" s="9"/>
      <c r="CO33" s="9"/>
      <c r="CR33" s="14"/>
      <c r="CS33" s="15"/>
      <c r="CT33" s="7"/>
      <c r="CU33" s="7"/>
      <c r="CV33" s="9"/>
      <c r="CW33" s="9"/>
      <c r="CZ33" s="14"/>
      <c r="DA33" s="41"/>
      <c r="DB33" s="7"/>
      <c r="DC33" s="7"/>
      <c r="DD33" s="9"/>
      <c r="DE33" s="9"/>
      <c r="DF33" s="1"/>
      <c r="DH33" s="14"/>
      <c r="DI33" s="15"/>
      <c r="DJ33" s="7"/>
      <c r="DK33" s="7"/>
      <c r="DL33" s="9"/>
      <c r="DM33" s="9"/>
      <c r="DP33" s="14"/>
      <c r="DQ33" s="15"/>
      <c r="DR33" s="7"/>
      <c r="DS33" s="7"/>
      <c r="DT33" s="9"/>
      <c r="DU33" s="9"/>
      <c r="DX33" s="14"/>
      <c r="DY33" s="15"/>
      <c r="DZ33" s="7"/>
      <c r="EA33" s="7"/>
      <c r="EB33" s="9"/>
      <c r="EC33" s="9"/>
      <c r="ED33" s="22"/>
      <c r="EF33" s="14"/>
      <c r="EG33" s="15"/>
      <c r="EH33" s="7"/>
      <c r="EI33" s="7"/>
      <c r="EJ33" s="9"/>
      <c r="EK33" s="9"/>
      <c r="EN33" s="14"/>
      <c r="EO33" s="15"/>
      <c r="EP33" s="7"/>
      <c r="EQ33" s="7"/>
      <c r="ER33" s="9"/>
      <c r="ES33" s="9"/>
      <c r="EV33" s="14"/>
      <c r="EW33" s="15"/>
      <c r="EX33" s="7"/>
      <c r="EY33" s="7"/>
      <c r="EZ33" s="9"/>
      <c r="FA33" s="9"/>
      <c r="FB33" s="22"/>
      <c r="FD33" s="14"/>
      <c r="FE33" s="15"/>
      <c r="FF33" s="7"/>
      <c r="FG33" s="7"/>
      <c r="FH33" s="9"/>
      <c r="FI33" s="9"/>
      <c r="FL33" s="14"/>
      <c r="FM33" s="7"/>
      <c r="FN33" s="7"/>
      <c r="FO33" s="9"/>
      <c r="FR33" s="14"/>
      <c r="FS33" s="7"/>
      <c r="FT33" s="7"/>
      <c r="FU33" s="9"/>
      <c r="FV33" s="1"/>
      <c r="FX33" s="14"/>
      <c r="FY33" s="7"/>
      <c r="FZ33" s="7"/>
      <c r="GA33" s="9"/>
      <c r="GB33" s="1"/>
      <c r="GD33" s="14"/>
      <c r="GE33" s="7"/>
      <c r="GF33" s="7"/>
      <c r="GG33" s="9"/>
      <c r="GH33" s="1"/>
      <c r="GJ33" s="14"/>
      <c r="GK33" s="7"/>
      <c r="GL33" s="7"/>
      <c r="GM33" s="9"/>
      <c r="GN33" s="1"/>
      <c r="GP33" s="14"/>
      <c r="GQ33" s="7"/>
      <c r="GR33" s="7"/>
      <c r="GS33" s="9"/>
      <c r="GT33" s="22"/>
      <c r="GV33" s="14"/>
      <c r="GW33" s="7"/>
      <c r="GX33" s="7"/>
      <c r="GY33" s="9"/>
      <c r="GZ33" s="22"/>
      <c r="HB33" s="14"/>
      <c r="HC33" s="7"/>
      <c r="HD33" s="7"/>
      <c r="HE33" s="9"/>
      <c r="HF33" s="22"/>
      <c r="HH33" s="14"/>
      <c r="HI33" s="7"/>
      <c r="HJ33" s="7"/>
      <c r="HK33" s="9"/>
      <c r="HL33" s="22"/>
      <c r="HN33" s="14"/>
      <c r="HO33" s="7"/>
      <c r="HP33" s="7"/>
      <c r="HQ33" s="9"/>
      <c r="HT33" s="14"/>
      <c r="HU33" s="7"/>
      <c r="HV33" s="7"/>
      <c r="HW33" s="9"/>
      <c r="HZ33" s="14"/>
      <c r="IA33" s="7"/>
      <c r="IB33" s="7"/>
      <c r="IC33" s="9"/>
      <c r="IF33" s="14"/>
      <c r="IG33" s="7"/>
      <c r="IH33" s="7"/>
      <c r="II33" s="9"/>
      <c r="IL33" s="14"/>
    </row>
    <row r="34" spans="4:246" ht="18" x14ac:dyDescent="0.2">
      <c r="D34" s="28"/>
      <c r="J34" s="6"/>
      <c r="K34" s="7"/>
      <c r="L34" s="9"/>
      <c r="M34" s="9"/>
      <c r="P34" s="14"/>
      <c r="Q34" s="41"/>
      <c r="R34" s="6"/>
      <c r="S34" s="7"/>
      <c r="T34" s="9"/>
      <c r="U34" s="9"/>
      <c r="X34" s="14"/>
      <c r="Y34" s="41"/>
      <c r="Z34" s="7"/>
      <c r="AA34" s="7"/>
      <c r="AB34" s="9"/>
      <c r="AC34" s="9"/>
      <c r="AF34" s="14"/>
      <c r="AG34" s="41"/>
      <c r="AH34" s="7"/>
      <c r="AI34" s="7"/>
      <c r="AJ34" s="9"/>
      <c r="AK34" s="9"/>
      <c r="AN34" s="14"/>
      <c r="AO34" s="41"/>
      <c r="AP34" s="7"/>
      <c r="AQ34" s="7"/>
      <c r="AR34" s="9"/>
      <c r="AS34" s="9"/>
      <c r="AV34" s="14"/>
      <c r="AW34" s="15"/>
      <c r="AX34" s="7"/>
      <c r="AY34" s="7"/>
      <c r="AZ34" s="9"/>
      <c r="BA34" s="9"/>
      <c r="BD34" s="14"/>
      <c r="BE34" s="15"/>
      <c r="BF34" s="7"/>
      <c r="BG34" s="7"/>
      <c r="BH34" s="9"/>
      <c r="BI34" s="9"/>
      <c r="BL34" s="14"/>
      <c r="BM34" s="15"/>
      <c r="BN34" s="7"/>
      <c r="BO34" s="7"/>
      <c r="BP34" s="9"/>
      <c r="BQ34" s="9"/>
      <c r="BT34" s="14"/>
      <c r="BU34" s="41"/>
      <c r="BV34" s="7"/>
      <c r="BW34" s="7"/>
      <c r="BX34" s="9"/>
      <c r="BY34" s="9"/>
      <c r="CB34" s="14"/>
      <c r="CC34" s="15"/>
      <c r="CD34" s="7"/>
      <c r="CE34" s="7"/>
      <c r="CF34" s="9"/>
      <c r="CG34" s="9"/>
      <c r="CJ34" s="14"/>
      <c r="CK34" s="41"/>
      <c r="CL34" s="7"/>
      <c r="CM34" s="7"/>
      <c r="CN34" s="9"/>
      <c r="CO34" s="9"/>
      <c r="CR34" s="14"/>
      <c r="CS34" s="15"/>
      <c r="CT34" s="7"/>
      <c r="CU34" s="7"/>
      <c r="CV34" s="9"/>
      <c r="CW34" s="9"/>
      <c r="CZ34" s="14"/>
      <c r="DA34" s="41"/>
      <c r="DB34" s="7"/>
      <c r="DC34" s="7"/>
      <c r="DD34" s="9"/>
      <c r="DE34" s="9"/>
      <c r="DH34" s="14"/>
      <c r="DI34" s="15"/>
      <c r="DJ34" s="7"/>
      <c r="DK34" s="7"/>
      <c r="DL34" s="9"/>
      <c r="DM34" s="9"/>
      <c r="DP34" s="14"/>
      <c r="DQ34" s="15"/>
      <c r="DR34" s="7"/>
      <c r="DS34" s="7"/>
      <c r="DT34" s="9"/>
      <c r="DU34" s="9"/>
      <c r="DX34" s="14"/>
      <c r="DY34" s="15"/>
      <c r="DZ34" s="7"/>
      <c r="EA34" s="7"/>
      <c r="EB34" s="9"/>
      <c r="EC34" s="9"/>
      <c r="EF34" s="14"/>
      <c r="EG34" s="15"/>
      <c r="EH34" s="7"/>
      <c r="EI34" s="7"/>
      <c r="EJ34" s="9"/>
      <c r="EK34" s="9"/>
      <c r="EN34" s="14"/>
      <c r="EO34" s="15"/>
      <c r="EP34" s="7"/>
      <c r="EQ34" s="7"/>
      <c r="ER34" s="9"/>
      <c r="ES34" s="9"/>
      <c r="EV34" s="14"/>
      <c r="EW34" s="15"/>
      <c r="EX34" s="7"/>
      <c r="EY34" s="7"/>
      <c r="EZ34" s="9"/>
      <c r="FA34" s="9"/>
      <c r="FD34" s="14"/>
      <c r="FE34" s="15"/>
      <c r="FF34" s="7"/>
      <c r="FG34" s="7"/>
      <c r="FH34" s="9"/>
      <c r="FI34" s="9"/>
      <c r="FL34" s="14"/>
      <c r="FM34" s="7"/>
      <c r="FN34" s="7"/>
      <c r="FO34" s="9"/>
      <c r="FR34" s="14"/>
      <c r="FS34" s="7"/>
      <c r="FT34" s="7"/>
      <c r="FU34" s="9"/>
      <c r="FX34" s="14"/>
      <c r="FY34" s="7"/>
      <c r="FZ34" s="7"/>
      <c r="GA34" s="9"/>
      <c r="GD34" s="14"/>
      <c r="GE34" s="12"/>
      <c r="GF34" s="7"/>
      <c r="GG34" s="9"/>
      <c r="GJ34" s="14"/>
      <c r="GK34" s="7"/>
      <c r="GL34" s="7"/>
      <c r="GM34" s="9"/>
      <c r="GP34" s="14"/>
      <c r="GQ34" s="7"/>
      <c r="GR34" s="7"/>
      <c r="GS34" s="9"/>
      <c r="GV34" s="14"/>
      <c r="GW34" s="7"/>
      <c r="GX34" s="7"/>
      <c r="GY34" s="9"/>
      <c r="HB34" s="14"/>
      <c r="HC34" s="7"/>
      <c r="HD34" s="7"/>
      <c r="HE34" s="9"/>
      <c r="HH34" s="14"/>
      <c r="HI34" s="7"/>
      <c r="HJ34" s="7"/>
      <c r="HK34" s="9"/>
      <c r="HN34" s="14"/>
      <c r="HO34" s="7"/>
      <c r="HP34" s="7"/>
      <c r="HQ34" s="9"/>
      <c r="HT34" s="14"/>
      <c r="HU34" s="7"/>
      <c r="HV34" s="7"/>
      <c r="HW34" s="9"/>
      <c r="HZ34" s="14"/>
      <c r="IA34" s="7"/>
      <c r="IB34" s="7"/>
      <c r="IC34" s="9"/>
      <c r="IF34" s="14"/>
      <c r="IG34" s="7"/>
      <c r="IH34" s="7"/>
      <c r="II34" s="9"/>
      <c r="IL34" s="14"/>
    </row>
    <row r="35" spans="4:246" ht="18" x14ac:dyDescent="0.2">
      <c r="D35" s="28"/>
      <c r="J35" s="6"/>
      <c r="K35" s="7"/>
      <c r="L35" s="9"/>
      <c r="M35" s="9"/>
      <c r="P35" s="14"/>
      <c r="Q35" s="41"/>
      <c r="R35" s="6"/>
      <c r="S35" s="7"/>
      <c r="T35" s="9"/>
      <c r="U35" s="9"/>
      <c r="X35" s="14"/>
      <c r="Y35" s="41"/>
      <c r="Z35" s="7"/>
      <c r="AA35" s="7"/>
      <c r="AB35" s="9"/>
      <c r="AC35" s="9"/>
      <c r="AF35" s="14"/>
      <c r="AG35" s="41"/>
      <c r="AH35" s="7"/>
      <c r="AI35" s="7"/>
      <c r="AJ35" s="9"/>
      <c r="AK35" s="9"/>
      <c r="AN35" s="14"/>
      <c r="AO35" s="41"/>
      <c r="AP35" s="7"/>
      <c r="AQ35" s="7"/>
      <c r="AR35" s="9"/>
      <c r="AS35" s="9"/>
      <c r="AV35" s="14"/>
      <c r="AW35" s="15"/>
      <c r="AX35" s="7"/>
      <c r="AY35" s="7"/>
      <c r="AZ35" s="9"/>
      <c r="BA35" s="9"/>
      <c r="BD35" s="14"/>
      <c r="BE35" s="15"/>
      <c r="BF35" s="7"/>
      <c r="BG35" s="7"/>
      <c r="BH35" s="9"/>
      <c r="BI35" s="9"/>
      <c r="BL35" s="14"/>
      <c r="BM35" s="15"/>
      <c r="BN35" s="7"/>
      <c r="BO35" s="7"/>
      <c r="BP35" s="9"/>
      <c r="BQ35" s="9"/>
      <c r="BT35" s="14"/>
      <c r="BU35" s="41"/>
      <c r="BV35" s="7"/>
      <c r="BW35" s="7"/>
      <c r="BX35" s="9"/>
      <c r="BY35" s="9"/>
      <c r="CB35" s="14"/>
      <c r="CC35" s="15"/>
      <c r="CD35" s="7"/>
      <c r="CE35" s="7"/>
      <c r="CF35" s="9"/>
      <c r="CG35" s="9"/>
      <c r="CJ35" s="14"/>
      <c r="CK35" s="41"/>
      <c r="CL35" s="7"/>
      <c r="CM35" s="7"/>
      <c r="CN35" s="9"/>
      <c r="CO35" s="9"/>
      <c r="CR35" s="14"/>
      <c r="CS35" s="15"/>
      <c r="CT35" s="7"/>
      <c r="CU35" s="7"/>
      <c r="CV35" s="9"/>
      <c r="CW35" s="9"/>
      <c r="CZ35" s="14"/>
      <c r="DA35" s="41"/>
      <c r="DB35" s="7"/>
      <c r="DC35" s="7"/>
      <c r="DD35" s="9"/>
      <c r="DE35" s="9"/>
      <c r="DH35" s="14"/>
      <c r="DI35" s="15"/>
      <c r="DJ35" s="7"/>
      <c r="DK35" s="7"/>
      <c r="DL35" s="9"/>
      <c r="DM35" s="9"/>
      <c r="DP35" s="14"/>
      <c r="DQ35" s="15"/>
      <c r="DR35" s="12"/>
      <c r="DS35" s="7"/>
      <c r="DT35" s="9"/>
      <c r="DU35" s="9"/>
      <c r="DX35" s="14"/>
      <c r="DY35" s="15"/>
      <c r="DZ35" s="7"/>
      <c r="EA35" s="7"/>
      <c r="EB35" s="9"/>
      <c r="EC35" s="9"/>
      <c r="EF35" s="14"/>
      <c r="EG35" s="15"/>
      <c r="EH35" s="7"/>
      <c r="EI35" s="7"/>
      <c r="EJ35" s="9"/>
      <c r="EK35" s="9"/>
      <c r="EN35" s="14"/>
      <c r="EO35" s="15"/>
      <c r="EP35" s="7"/>
      <c r="EQ35" s="7"/>
      <c r="ER35" s="9"/>
      <c r="ES35" s="9"/>
      <c r="EV35" s="14"/>
      <c r="EW35" s="15"/>
      <c r="EX35" s="7"/>
      <c r="EY35" s="7"/>
      <c r="EZ35" s="9"/>
      <c r="FA35" s="9"/>
      <c r="FD35" s="14"/>
      <c r="FE35" s="15"/>
      <c r="FF35" s="7"/>
      <c r="FG35" s="7"/>
      <c r="FH35" s="9"/>
      <c r="FI35" s="9"/>
      <c r="FL35" s="14"/>
      <c r="FM35" s="7"/>
      <c r="FN35" s="7"/>
      <c r="FO35" s="9"/>
      <c r="FR35" s="14"/>
      <c r="FS35" s="7"/>
      <c r="FT35" s="7"/>
      <c r="FU35" s="9"/>
      <c r="FX35" s="14"/>
      <c r="FY35" s="12"/>
      <c r="FZ35" s="7"/>
      <c r="GA35" s="9"/>
      <c r="GD35" s="14"/>
      <c r="GE35" s="12"/>
      <c r="GF35" s="7"/>
      <c r="GG35" s="9"/>
      <c r="GJ35" s="14"/>
      <c r="GK35" s="7"/>
      <c r="GL35" s="7"/>
      <c r="GM35" s="9"/>
      <c r="GP35" s="14"/>
      <c r="GQ35" s="7"/>
      <c r="GR35" s="7"/>
      <c r="GS35" s="9"/>
      <c r="GV35" s="14"/>
      <c r="GW35" s="7"/>
      <c r="GX35" s="7"/>
      <c r="GY35" s="9"/>
      <c r="HB35" s="14"/>
      <c r="HC35" s="7"/>
      <c r="HD35" s="7"/>
      <c r="HE35" s="9"/>
      <c r="HH35" s="14"/>
      <c r="HI35" s="7"/>
      <c r="HJ35" s="7"/>
      <c r="HK35" s="9"/>
      <c r="HN35" s="14"/>
      <c r="HO35" s="7"/>
      <c r="HP35" s="7"/>
      <c r="HQ35" s="9"/>
      <c r="HT35" s="14"/>
      <c r="HU35" s="7"/>
      <c r="HV35" s="7"/>
      <c r="HW35" s="9"/>
      <c r="HZ35" s="14"/>
      <c r="IA35" s="7"/>
      <c r="IB35" s="7"/>
      <c r="IC35" s="9"/>
      <c r="IF35" s="14"/>
      <c r="IG35" s="12"/>
      <c r="IH35" s="7"/>
      <c r="II35" s="9"/>
      <c r="IL35" s="14"/>
    </row>
    <row r="36" spans="4:246" x14ac:dyDescent="0.2">
      <c r="X36" s="34"/>
      <c r="Y36" s="42"/>
      <c r="CL36" s="19"/>
      <c r="CM36" s="17"/>
      <c r="CN36" s="17"/>
      <c r="CO36" s="17"/>
      <c r="CP36" s="17"/>
      <c r="CQ36" s="17"/>
      <c r="CR36" s="31"/>
      <c r="CS36" s="17"/>
      <c r="CT36" s="19"/>
      <c r="CU36" s="17"/>
      <c r="CV36" s="17"/>
      <c r="CW36" s="17"/>
      <c r="CX36" s="17"/>
      <c r="CY36" s="17"/>
      <c r="CZ36" s="31"/>
      <c r="DA36" s="45"/>
      <c r="DB36" s="19"/>
      <c r="DC36" s="17"/>
      <c r="DD36" s="17"/>
      <c r="DE36" s="17"/>
      <c r="DF36" s="17"/>
      <c r="DG36" s="17"/>
      <c r="DH36" s="31"/>
      <c r="DI36" s="17"/>
      <c r="IF36" s="14"/>
    </row>
    <row r="37" spans="4:246" x14ac:dyDescent="0.2">
      <c r="FM37" s="25"/>
      <c r="FS37" s="25"/>
      <c r="FU37" s="9"/>
      <c r="GE37" s="25"/>
      <c r="HU37" s="25"/>
    </row>
  </sheetData>
  <mergeCells count="32">
    <mergeCell ref="IA1:IF1"/>
    <mergeCell ref="GW1:HB1"/>
    <mergeCell ref="HC1:HH1"/>
    <mergeCell ref="HI1:HN1"/>
    <mergeCell ref="HO1:HT1"/>
    <mergeCell ref="HU1:HZ1"/>
    <mergeCell ref="J1:O1"/>
    <mergeCell ref="R1:W1"/>
    <mergeCell ref="Z1:AE1"/>
    <mergeCell ref="AP1:AV1"/>
    <mergeCell ref="AX1:BD1"/>
    <mergeCell ref="CL1:CR1"/>
    <mergeCell ref="BN1:BT1"/>
    <mergeCell ref="BV1:CB1"/>
    <mergeCell ref="CD1:CJ1"/>
    <mergeCell ref="BF1:BL1"/>
    <mergeCell ref="IG1:IL1"/>
    <mergeCell ref="FF1:FL1"/>
    <mergeCell ref="FM1:FR1"/>
    <mergeCell ref="FS1:FX1"/>
    <mergeCell ref="CT1:CZ1"/>
    <mergeCell ref="DB1:DH1"/>
    <mergeCell ref="EX1:FD1"/>
    <mergeCell ref="DJ1:DP1"/>
    <mergeCell ref="DR1:DX1"/>
    <mergeCell ref="DZ1:EF1"/>
    <mergeCell ref="EH1:EN1"/>
    <mergeCell ref="EP1:EV1"/>
    <mergeCell ref="FY1:GD1"/>
    <mergeCell ref="GE1:GJ1"/>
    <mergeCell ref="GK1:GP1"/>
    <mergeCell ref="GQ1:GV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76D-BCE5-7F47-92F4-9723B5DF5052}">
  <dimension ref="A1:Q25"/>
  <sheetViews>
    <sheetView workbookViewId="0">
      <selection activeCell="I2" sqref="I2"/>
    </sheetView>
  </sheetViews>
  <sheetFormatPr baseColWidth="10" defaultRowHeight="16" x14ac:dyDescent="0.2"/>
  <sheetData>
    <row r="1" spans="1:17" ht="68" x14ac:dyDescent="0.2">
      <c r="A1" t="s">
        <v>0</v>
      </c>
      <c r="B1" s="4" t="s">
        <v>1</v>
      </c>
      <c r="C1" s="4"/>
      <c r="D1" s="4" t="s">
        <v>17</v>
      </c>
      <c r="E1" s="4" t="s">
        <v>18</v>
      </c>
      <c r="F1" s="4" t="s">
        <v>11</v>
      </c>
      <c r="G1" s="4" t="s">
        <v>63</v>
      </c>
      <c r="H1" s="4" t="s">
        <v>8</v>
      </c>
      <c r="I1" s="11" t="s">
        <v>7</v>
      </c>
      <c r="J1" s="4" t="s">
        <v>75</v>
      </c>
      <c r="K1" s="4" t="s">
        <v>76</v>
      </c>
      <c r="L1" s="35" t="s">
        <v>79</v>
      </c>
      <c r="M1" s="4" t="s">
        <v>80</v>
      </c>
      <c r="N1" s="4" t="s">
        <v>81</v>
      </c>
      <c r="O1" s="4" t="s">
        <v>82</v>
      </c>
      <c r="P1" s="4" t="s">
        <v>77</v>
      </c>
      <c r="Q1" s="4" t="s">
        <v>78</v>
      </c>
    </row>
    <row r="2" spans="1:17" ht="19" x14ac:dyDescent="0.25">
      <c r="A2" s="29" t="s">
        <v>20</v>
      </c>
      <c r="B2">
        <v>473.17599999999999</v>
      </c>
      <c r="D2" s="28">
        <v>8.2057366080959995E-2</v>
      </c>
      <c r="E2">
        <v>275.14999999999998</v>
      </c>
      <c r="F2">
        <f t="shared" ref="F2:F25" si="0">(B2-C2)/1000</f>
        <v>0.47317599999999999</v>
      </c>
      <c r="G2">
        <f>[1]incubation_physical_chemical!$I$2</f>
        <v>0.54199999999999982</v>
      </c>
      <c r="H2">
        <v>40.045999999999999</v>
      </c>
      <c r="I2" s="9">
        <f t="shared" ref="I2:I25" si="1">H2/(G2+1)</f>
        <v>25.970168612191962</v>
      </c>
      <c r="J2">
        <f>TC!$C$2</f>
        <v>6.2183908045977017</v>
      </c>
      <c r="K2" s="9">
        <f>H2-I2</f>
        <v>14.075831387808037</v>
      </c>
      <c r="L2" s="36">
        <f>SUM(M2, N2, O2)</f>
        <v>24.308555134052163</v>
      </c>
      <c r="M2">
        <f>K2/1</f>
        <v>14.075831387808037</v>
      </c>
      <c r="N2">
        <f>Q2/2.66</f>
        <v>9.1561060282980815</v>
      </c>
      <c r="O2">
        <f>P2/1.5</f>
        <v>1.0766177179460423</v>
      </c>
      <c r="P2">
        <f>(J2*I2)/100</f>
        <v>1.6149265769190635</v>
      </c>
      <c r="Q2" s="9">
        <f>I2-P2</f>
        <v>24.355242035272898</v>
      </c>
    </row>
    <row r="3" spans="1:17" ht="19" x14ac:dyDescent="0.25">
      <c r="A3" s="29" t="s">
        <v>21</v>
      </c>
      <c r="B3">
        <v>473.17599999999999</v>
      </c>
      <c r="D3" s="28">
        <v>8.2057366080959995E-2</v>
      </c>
      <c r="E3">
        <v>275.14999999999998</v>
      </c>
      <c r="F3">
        <f t="shared" si="0"/>
        <v>0.47317599999999999</v>
      </c>
      <c r="G3">
        <f>[1]incubation_physical_chemical!$I$3</f>
        <v>0.93400000000000016</v>
      </c>
      <c r="H3">
        <v>38.780999999999999</v>
      </c>
      <c r="I3" s="9">
        <f t="shared" si="1"/>
        <v>20.052223371251291</v>
      </c>
      <c r="J3">
        <f>TC!$C$2</f>
        <v>6.2183908045977017</v>
      </c>
      <c r="K3" s="9">
        <f t="shared" ref="K3:K25" si="2">H3-I3</f>
        <v>18.728776628748708</v>
      </c>
      <c r="L3" s="36">
        <f t="shared" ref="L3:L25" si="3">SUM(M3, N3, O3)</f>
        <v>26.629721182480502</v>
      </c>
      <c r="M3">
        <f t="shared" ref="M3:M25" si="4">K3/1</f>
        <v>18.728776628748708</v>
      </c>
      <c r="N3">
        <f t="shared" ref="N3:N25" si="5">Q3/2.66</f>
        <v>7.0696608109082746</v>
      </c>
      <c r="O3">
        <f t="shared" ref="O3:O25" si="6">P3/1.5</f>
        <v>0.83128374282352091</v>
      </c>
      <c r="P3">
        <f t="shared" ref="P3:P25" si="7">(J3*I3)/100</f>
        <v>1.2469256142352814</v>
      </c>
      <c r="Q3" s="9">
        <f t="shared" ref="Q3:Q25" si="8">I3-P3</f>
        <v>18.80529775701601</v>
      </c>
    </row>
    <row r="4" spans="1:17" ht="19" x14ac:dyDescent="0.25">
      <c r="A4" s="29" t="s">
        <v>22</v>
      </c>
      <c r="B4">
        <v>473.17599999999999</v>
      </c>
      <c r="D4" s="28">
        <v>8.2057366080959995E-2</v>
      </c>
      <c r="E4">
        <v>275.14999999999998</v>
      </c>
      <c r="F4">
        <f t="shared" si="0"/>
        <v>0.47317599999999999</v>
      </c>
      <c r="G4">
        <f>[1]incubation_physical_chemical!$I$4</f>
        <v>0.81399999999999961</v>
      </c>
      <c r="H4">
        <v>34.036999999999999</v>
      </c>
      <c r="I4" s="9">
        <f t="shared" si="1"/>
        <v>18.76350606394708</v>
      </c>
      <c r="J4">
        <f>TC!$C$2</f>
        <v>6.2183908045977017</v>
      </c>
      <c r="K4" s="9">
        <f t="shared" si="2"/>
        <v>15.273493936052919</v>
      </c>
      <c r="L4" s="36">
        <f t="shared" si="3"/>
        <v>22.666660185008642</v>
      </c>
      <c r="M4">
        <f t="shared" si="4"/>
        <v>15.273493936052919</v>
      </c>
      <c r="N4">
        <f t="shared" si="5"/>
        <v>6.6153074918219783</v>
      </c>
      <c r="O4">
        <f t="shared" si="6"/>
        <v>0.77785875713374486</v>
      </c>
      <c r="P4">
        <f t="shared" si="7"/>
        <v>1.1667881357006173</v>
      </c>
      <c r="Q4" s="9">
        <f t="shared" si="8"/>
        <v>17.596717928246463</v>
      </c>
    </row>
    <row r="5" spans="1:17" ht="19" x14ac:dyDescent="0.25">
      <c r="A5" s="29" t="s">
        <v>23</v>
      </c>
      <c r="B5">
        <v>473.17599999999999</v>
      </c>
      <c r="D5" s="28">
        <v>8.2057366080959995E-2</v>
      </c>
      <c r="E5">
        <v>275.14999999999998</v>
      </c>
      <c r="F5">
        <f t="shared" si="0"/>
        <v>0.47317599999999999</v>
      </c>
      <c r="G5" cm="1">
        <f t="array" ref="G5:G25">[1]incubation_physical_chemical!$I$5:$I$25</f>
        <v>0.36500000000000021</v>
      </c>
      <c r="H5">
        <v>35.707999999999998</v>
      </c>
      <c r="I5" s="9">
        <f t="shared" si="1"/>
        <v>26.159706959706956</v>
      </c>
      <c r="J5">
        <f>TC!$C$2</f>
        <v>6.2183908045977017</v>
      </c>
      <c r="K5" s="9">
        <f t="shared" si="2"/>
        <v>9.5482930402930428</v>
      </c>
      <c r="L5" s="36">
        <f t="shared" si="3"/>
        <v>19.855698379036728</v>
      </c>
      <c r="M5">
        <f t="shared" si="4"/>
        <v>9.5482930402930428</v>
      </c>
      <c r="N5">
        <f t="shared" si="5"/>
        <v>9.2229301306822666</v>
      </c>
      <c r="O5">
        <f t="shared" si="6"/>
        <v>1.0844752080614148</v>
      </c>
      <c r="P5">
        <f t="shared" si="7"/>
        <v>1.6267128120921222</v>
      </c>
      <c r="Q5" s="9">
        <f t="shared" si="8"/>
        <v>24.532994147614833</v>
      </c>
    </row>
    <row r="6" spans="1:17" ht="19" x14ac:dyDescent="0.25">
      <c r="A6" s="29" t="s">
        <v>24</v>
      </c>
      <c r="B6">
        <v>473.17599999999999</v>
      </c>
      <c r="D6" s="28">
        <v>8.2057366080959995E-2</v>
      </c>
      <c r="E6">
        <v>275.14999999999998</v>
      </c>
      <c r="F6">
        <f t="shared" si="0"/>
        <v>0.47317599999999999</v>
      </c>
      <c r="G6">
        <v>0.44099999999999984</v>
      </c>
      <c r="H6">
        <v>37.253</v>
      </c>
      <c r="I6" s="9">
        <f t="shared" si="1"/>
        <v>25.852185981956978</v>
      </c>
      <c r="J6">
        <f>TC!$C$3</f>
        <v>3.1609195402298846</v>
      </c>
      <c r="K6" s="9">
        <f t="shared" si="2"/>
        <v>11.400814018043022</v>
      </c>
      <c r="L6" s="36">
        <f t="shared" si="3"/>
        <v>21.35725323081008</v>
      </c>
      <c r="M6">
        <f t="shared" si="4"/>
        <v>11.400814018043022</v>
      </c>
      <c r="N6">
        <f t="shared" si="5"/>
        <v>9.4116613472468913</v>
      </c>
      <c r="O6">
        <f t="shared" si="6"/>
        <v>0.54477786552016616</v>
      </c>
      <c r="P6">
        <f t="shared" si="7"/>
        <v>0.81716679828024918</v>
      </c>
      <c r="Q6" s="9">
        <f t="shared" si="8"/>
        <v>25.035019183676731</v>
      </c>
    </row>
    <row r="7" spans="1:17" ht="19" x14ac:dyDescent="0.25">
      <c r="A7" s="29" t="s">
        <v>25</v>
      </c>
      <c r="B7">
        <v>473.17599999999999</v>
      </c>
      <c r="D7" s="28">
        <v>8.2057366080959995E-2</v>
      </c>
      <c r="E7">
        <v>275.14999999999998</v>
      </c>
      <c r="F7">
        <f t="shared" si="0"/>
        <v>0.47317599999999999</v>
      </c>
      <c r="G7">
        <v>0.2710000000000008</v>
      </c>
      <c r="H7">
        <v>34.707999999999998</v>
      </c>
      <c r="I7" s="9">
        <f t="shared" si="1"/>
        <v>27.307631785995262</v>
      </c>
      <c r="J7">
        <f>TC!$C$3</f>
        <v>3.1609195402298846</v>
      </c>
      <c r="K7" s="9">
        <f t="shared" si="2"/>
        <v>7.400368214004736</v>
      </c>
      <c r="L7" s="36">
        <f t="shared" si="3"/>
        <v>17.917342527575176</v>
      </c>
      <c r="M7">
        <f t="shared" si="4"/>
        <v>7.400368214004736</v>
      </c>
      <c r="N7">
        <f t="shared" si="5"/>
        <v>9.9415261341720722</v>
      </c>
      <c r="O7">
        <f t="shared" si="6"/>
        <v>0.57544817939836757</v>
      </c>
      <c r="P7">
        <f t="shared" si="7"/>
        <v>0.8631722690975514</v>
      </c>
      <c r="Q7" s="9">
        <f t="shared" si="8"/>
        <v>26.444459516897712</v>
      </c>
    </row>
    <row r="8" spans="1:17" ht="19" x14ac:dyDescent="0.25">
      <c r="A8" s="29" t="s">
        <v>26</v>
      </c>
      <c r="B8">
        <v>473.17599999999999</v>
      </c>
      <c r="D8" s="28">
        <v>8.2057366080959995E-2</v>
      </c>
      <c r="E8">
        <v>275.14999999999998</v>
      </c>
      <c r="F8">
        <f t="shared" si="0"/>
        <v>0.47317599999999999</v>
      </c>
      <c r="G8">
        <v>0.20500000000000007</v>
      </c>
      <c r="H8">
        <v>29.507999999999999</v>
      </c>
      <c r="I8" s="9">
        <f t="shared" si="1"/>
        <v>24.487966804979251</v>
      </c>
      <c r="J8">
        <f>TC!$C$3</f>
        <v>3.1609195402298846</v>
      </c>
      <c r="K8" s="9">
        <f t="shared" si="2"/>
        <v>5.0200331950207477</v>
      </c>
      <c r="L8" s="36">
        <f t="shared" si="3"/>
        <v>14.451071371374494</v>
      </c>
      <c r="M8">
        <f t="shared" si="4"/>
        <v>5.0200331950207477</v>
      </c>
      <c r="N8">
        <f t="shared" si="5"/>
        <v>8.9150082245246818</v>
      </c>
      <c r="O8">
        <f t="shared" si="6"/>
        <v>0.51602995182906464</v>
      </c>
      <c r="P8">
        <f t="shared" si="7"/>
        <v>0.77404492774359701</v>
      </c>
      <c r="Q8" s="9">
        <f t="shared" si="8"/>
        <v>23.713921877235656</v>
      </c>
    </row>
    <row r="9" spans="1:17" ht="19" x14ac:dyDescent="0.25">
      <c r="A9" s="29" t="s">
        <v>27</v>
      </c>
      <c r="B9">
        <v>473.17599999999999</v>
      </c>
      <c r="D9" s="28">
        <v>8.2057366080959995E-2</v>
      </c>
      <c r="E9">
        <v>275.14999999999998</v>
      </c>
      <c r="F9">
        <f t="shared" si="0"/>
        <v>0.47317599999999999</v>
      </c>
      <c r="G9">
        <v>0.28000000000000114</v>
      </c>
      <c r="H9">
        <v>33.094999999999999</v>
      </c>
      <c r="I9" s="9">
        <f t="shared" si="1"/>
        <v>25.855468749999975</v>
      </c>
      <c r="J9">
        <f>TC!$C$3</f>
        <v>3.1609195402298846</v>
      </c>
      <c r="K9" s="9">
        <f t="shared" si="2"/>
        <v>7.2395312500000237</v>
      </c>
      <c r="L9" s="36">
        <f t="shared" si="3"/>
        <v>17.197234753550557</v>
      </c>
      <c r="M9">
        <f t="shared" si="4"/>
        <v>7.2395312500000237</v>
      </c>
      <c r="N9">
        <f t="shared" si="5"/>
        <v>9.4128564609260117</v>
      </c>
      <c r="O9">
        <f t="shared" si="6"/>
        <v>0.54484704262452044</v>
      </c>
      <c r="P9">
        <f t="shared" si="7"/>
        <v>0.81727056393678066</v>
      </c>
      <c r="Q9" s="9">
        <f t="shared" si="8"/>
        <v>25.038198186063195</v>
      </c>
    </row>
    <row r="10" spans="1:17" ht="19" x14ac:dyDescent="0.25">
      <c r="A10" s="29" t="s">
        <v>28</v>
      </c>
      <c r="B10">
        <v>473.17599999999999</v>
      </c>
      <c r="D10" s="28">
        <v>8.2057366080959995E-2</v>
      </c>
      <c r="E10">
        <v>275.14999999999998</v>
      </c>
      <c r="F10">
        <f t="shared" si="0"/>
        <v>0.47317599999999999</v>
      </c>
      <c r="G10">
        <v>3.3160000000000007</v>
      </c>
      <c r="H10">
        <v>30.701000000000001</v>
      </c>
      <c r="I10" s="9">
        <f t="shared" si="1"/>
        <v>7.1132993512511575</v>
      </c>
      <c r="J10">
        <f>TC!$C$4</f>
        <v>65.327586206896541</v>
      </c>
      <c r="K10" s="9">
        <f t="shared" si="2"/>
        <v>23.587700648748843</v>
      </c>
      <c r="L10" s="36">
        <f t="shared" si="3"/>
        <v>27.612865379389159</v>
      </c>
      <c r="M10">
        <f t="shared" si="4"/>
        <v>23.587700648748843</v>
      </c>
      <c r="N10">
        <f t="shared" si="5"/>
        <v>0.92720022007817471</v>
      </c>
      <c r="O10">
        <f t="shared" si="6"/>
        <v>3.0979645105621416</v>
      </c>
      <c r="P10">
        <f t="shared" si="7"/>
        <v>4.6469467658432126</v>
      </c>
      <c r="Q10" s="9">
        <f t="shared" si="8"/>
        <v>2.4663525854079449</v>
      </c>
    </row>
    <row r="11" spans="1:17" ht="19" x14ac:dyDescent="0.25">
      <c r="A11" s="29" t="s">
        <v>29</v>
      </c>
      <c r="B11">
        <v>473.17599999999999</v>
      </c>
      <c r="D11" s="28">
        <v>8.2057366080959995E-2</v>
      </c>
      <c r="E11">
        <v>275.14999999999998</v>
      </c>
      <c r="F11">
        <f t="shared" si="0"/>
        <v>0.47317599999999999</v>
      </c>
      <c r="G11">
        <v>3.633999999999999</v>
      </c>
      <c r="H11">
        <v>29.484000000000002</v>
      </c>
      <c r="I11" s="9">
        <f t="shared" si="1"/>
        <v>6.3625377643504555</v>
      </c>
      <c r="J11">
        <f>TC!$C$4</f>
        <v>65.327586206896541</v>
      </c>
      <c r="K11" s="9">
        <f t="shared" si="2"/>
        <v>23.121462235649545</v>
      </c>
      <c r="L11" s="36">
        <f t="shared" si="3"/>
        <v>26.721797514935375</v>
      </c>
      <c r="M11">
        <f t="shared" si="4"/>
        <v>23.121462235649545</v>
      </c>
      <c r="N11">
        <f t="shared" si="5"/>
        <v>0.82934038398423437</v>
      </c>
      <c r="O11">
        <f t="shared" si="6"/>
        <v>2.7709948953015946</v>
      </c>
      <c r="P11">
        <f t="shared" si="7"/>
        <v>4.1564923429523919</v>
      </c>
      <c r="Q11" s="9">
        <f t="shared" si="8"/>
        <v>2.2060454213980636</v>
      </c>
    </row>
    <row r="12" spans="1:17" ht="19" x14ac:dyDescent="0.25">
      <c r="A12" s="29" t="s">
        <v>30</v>
      </c>
      <c r="B12">
        <v>473.17599999999999</v>
      </c>
      <c r="D12" s="28">
        <v>8.2057366080959995E-2</v>
      </c>
      <c r="E12">
        <v>275.14999999999998</v>
      </c>
      <c r="F12">
        <f t="shared" si="0"/>
        <v>0.47317599999999999</v>
      </c>
      <c r="G12">
        <v>3.3149999999999995</v>
      </c>
      <c r="H12">
        <v>32.073</v>
      </c>
      <c r="I12" s="9">
        <f t="shared" si="1"/>
        <v>7.4329084588644276</v>
      </c>
      <c r="J12">
        <f>TC!$C$4</f>
        <v>65.327586206896541</v>
      </c>
      <c r="K12" s="9">
        <f t="shared" si="2"/>
        <v>24.640091541135572</v>
      </c>
      <c r="L12" s="36">
        <f t="shared" si="3"/>
        <v>28.846111771317052</v>
      </c>
      <c r="M12">
        <f t="shared" si="4"/>
        <v>24.640091541135572</v>
      </c>
      <c r="N12">
        <f t="shared" si="5"/>
        <v>0.96886044275190364</v>
      </c>
      <c r="O12">
        <f t="shared" si="6"/>
        <v>3.2371597874295759</v>
      </c>
      <c r="P12">
        <f t="shared" si="7"/>
        <v>4.8557396811443638</v>
      </c>
      <c r="Q12" s="9">
        <f t="shared" si="8"/>
        <v>2.5771687777200638</v>
      </c>
    </row>
    <row r="13" spans="1:17" ht="19" x14ac:dyDescent="0.25">
      <c r="A13" s="29" t="s">
        <v>31</v>
      </c>
      <c r="B13">
        <v>473.17599999999999</v>
      </c>
      <c r="D13" s="28">
        <v>8.2057366080959995E-2</v>
      </c>
      <c r="E13">
        <v>275.14999999999998</v>
      </c>
      <c r="F13">
        <f t="shared" si="0"/>
        <v>0.47317599999999999</v>
      </c>
      <c r="G13">
        <v>4.0239999999999991</v>
      </c>
      <c r="H13">
        <v>35.268999999999998</v>
      </c>
      <c r="I13" s="9">
        <f t="shared" si="1"/>
        <v>7.0201035031847141</v>
      </c>
      <c r="J13">
        <f>TC!$C$4</f>
        <v>65.327586206896541</v>
      </c>
      <c r="K13" s="9">
        <f t="shared" si="2"/>
        <v>28.248896496815284</v>
      </c>
      <c r="L13" s="36">
        <f t="shared" si="3"/>
        <v>32.221324990421913</v>
      </c>
      <c r="M13">
        <f t="shared" si="4"/>
        <v>28.248896496815284</v>
      </c>
      <c r="N13">
        <f t="shared" si="5"/>
        <v>0.91505238170238923</v>
      </c>
      <c r="O13">
        <f t="shared" si="6"/>
        <v>3.0573761119042389</v>
      </c>
      <c r="P13">
        <f t="shared" si="7"/>
        <v>4.5860641678563585</v>
      </c>
      <c r="Q13" s="9">
        <f t="shared" si="8"/>
        <v>2.4340393353283556</v>
      </c>
    </row>
    <row r="14" spans="1:17" ht="19" x14ac:dyDescent="0.25">
      <c r="A14" s="29" t="s">
        <v>32</v>
      </c>
      <c r="B14">
        <v>473.17599999999999</v>
      </c>
      <c r="D14" s="28">
        <v>8.2057366080959995E-2</v>
      </c>
      <c r="E14">
        <v>275.14999999999998</v>
      </c>
      <c r="F14">
        <f t="shared" si="0"/>
        <v>0.47317599999999999</v>
      </c>
      <c r="G14">
        <v>3.0100000000000007</v>
      </c>
      <c r="H14">
        <v>23.893000000000001</v>
      </c>
      <c r="I14" s="9">
        <f t="shared" si="1"/>
        <v>5.9583541147132157</v>
      </c>
      <c r="J14">
        <f>TC!$C$5</f>
        <v>68.298850574712645</v>
      </c>
      <c r="K14" s="9">
        <f t="shared" si="2"/>
        <v>17.934645885286784</v>
      </c>
      <c r="L14" s="36">
        <f t="shared" si="3"/>
        <v>21.357737746277579</v>
      </c>
      <c r="M14">
        <f t="shared" si="4"/>
        <v>17.934645885286784</v>
      </c>
      <c r="N14">
        <f t="shared" si="5"/>
        <v>0.71010027864398273</v>
      </c>
      <c r="O14">
        <f t="shared" si="6"/>
        <v>2.7129915823468145</v>
      </c>
      <c r="P14">
        <f t="shared" si="7"/>
        <v>4.0694873735202215</v>
      </c>
      <c r="Q14" s="9">
        <f t="shared" si="8"/>
        <v>1.8888667411929942</v>
      </c>
    </row>
    <row r="15" spans="1:17" ht="19" x14ac:dyDescent="0.25">
      <c r="A15" s="29" t="s">
        <v>33</v>
      </c>
      <c r="B15">
        <v>473.17599999999999</v>
      </c>
      <c r="D15" s="28">
        <v>8.2057366080959995E-2</v>
      </c>
      <c r="E15">
        <v>275.14999999999998</v>
      </c>
      <c r="F15">
        <f t="shared" si="0"/>
        <v>0.47317599999999999</v>
      </c>
      <c r="G15">
        <v>3.0759999999999996</v>
      </c>
      <c r="H15">
        <v>21.977</v>
      </c>
      <c r="I15" s="9">
        <f t="shared" si="1"/>
        <v>5.3918056918547599</v>
      </c>
      <c r="J15">
        <f>TC!$C$5</f>
        <v>68.298850574712645</v>
      </c>
      <c r="K15" s="9">
        <f t="shared" si="2"/>
        <v>16.58519430814524</v>
      </c>
      <c r="L15" s="36">
        <f t="shared" si="3"/>
        <v>19.682802443629516</v>
      </c>
      <c r="M15">
        <f t="shared" si="4"/>
        <v>16.58519430814524</v>
      </c>
      <c r="N15">
        <f t="shared" si="5"/>
        <v>0.64258059364512266</v>
      </c>
      <c r="O15">
        <f t="shared" si="6"/>
        <v>2.4550275418391556</v>
      </c>
      <c r="P15">
        <f t="shared" si="7"/>
        <v>3.6825413127587336</v>
      </c>
      <c r="Q15" s="9">
        <f t="shared" si="8"/>
        <v>1.7092643790960262</v>
      </c>
    </row>
    <row r="16" spans="1:17" ht="19" x14ac:dyDescent="0.25">
      <c r="A16" s="29" t="s">
        <v>34</v>
      </c>
      <c r="B16">
        <v>473.17599999999999</v>
      </c>
      <c r="D16" s="28">
        <v>8.2057366080959995E-2</v>
      </c>
      <c r="E16">
        <v>275.14999999999998</v>
      </c>
      <c r="F16">
        <f t="shared" si="0"/>
        <v>0.47317599999999999</v>
      </c>
      <c r="G16">
        <v>3.3050000000000006</v>
      </c>
      <c r="H16">
        <v>23.056000000000001</v>
      </c>
      <c r="I16" s="9">
        <f t="shared" si="1"/>
        <v>5.3556329849012769</v>
      </c>
      <c r="J16">
        <f>TC!$C$5</f>
        <v>68.298850574712645</v>
      </c>
      <c r="K16" s="9">
        <f t="shared" si="2"/>
        <v>17.700367015098724</v>
      </c>
      <c r="L16" s="36">
        <f t="shared" si="3"/>
        <v>20.777193824670078</v>
      </c>
      <c r="M16">
        <f t="shared" si="4"/>
        <v>17.700367015098724</v>
      </c>
      <c r="N16">
        <f t="shared" si="5"/>
        <v>0.63826962977952295</v>
      </c>
      <c r="O16">
        <f t="shared" si="6"/>
        <v>2.4385571797918306</v>
      </c>
      <c r="P16">
        <f t="shared" si="7"/>
        <v>3.6578357696877459</v>
      </c>
      <c r="Q16" s="9">
        <f t="shared" si="8"/>
        <v>1.697797215213531</v>
      </c>
    </row>
    <row r="17" spans="1:17" ht="19" x14ac:dyDescent="0.25">
      <c r="A17" s="29" t="s">
        <v>35</v>
      </c>
      <c r="B17">
        <v>473.17599999999999</v>
      </c>
      <c r="D17" s="28">
        <v>8.2057366080959995E-2</v>
      </c>
      <c r="E17">
        <v>275.14999999999998</v>
      </c>
      <c r="F17">
        <f t="shared" si="0"/>
        <v>0.47317599999999999</v>
      </c>
      <c r="G17">
        <v>0.3400000000000003</v>
      </c>
      <c r="H17">
        <v>12.154</v>
      </c>
      <c r="I17" s="9">
        <f t="shared" si="1"/>
        <v>9.0701492537313406</v>
      </c>
      <c r="J17">
        <f>TC!$C$5</f>
        <v>68.298850574712645</v>
      </c>
      <c r="K17" s="9">
        <f t="shared" si="2"/>
        <v>3.0838507462686593</v>
      </c>
      <c r="L17" s="36">
        <f t="shared" si="3"/>
        <v>8.2946780134415654</v>
      </c>
      <c r="M17">
        <f t="shared" si="4"/>
        <v>3.0838507462686593</v>
      </c>
      <c r="N17">
        <f t="shared" si="5"/>
        <v>1.0809554766999843</v>
      </c>
      <c r="O17">
        <f t="shared" si="6"/>
        <v>4.1298717904729214</v>
      </c>
      <c r="P17">
        <f t="shared" si="7"/>
        <v>6.1948076857093826</v>
      </c>
      <c r="Q17" s="9">
        <f t="shared" si="8"/>
        <v>2.8753415680219581</v>
      </c>
    </row>
    <row r="18" spans="1:17" ht="19" x14ac:dyDescent="0.25">
      <c r="A18" s="29" t="s">
        <v>36</v>
      </c>
      <c r="B18">
        <v>473.17599999999999</v>
      </c>
      <c r="D18" s="28">
        <v>8.2057366080959995E-2</v>
      </c>
      <c r="E18">
        <v>275.14999999999998</v>
      </c>
      <c r="F18">
        <f t="shared" si="0"/>
        <v>0.47317599999999999</v>
      </c>
      <c r="G18">
        <v>2.9300000000000006</v>
      </c>
      <c r="H18">
        <v>35.006999999999998</v>
      </c>
      <c r="I18" s="9">
        <f t="shared" si="1"/>
        <v>8.9076335877862576</v>
      </c>
      <c r="J18">
        <f>TC!$C$6</f>
        <v>53.218390804597696</v>
      </c>
      <c r="K18" s="9">
        <f t="shared" si="2"/>
        <v>26.09936641221374</v>
      </c>
      <c r="L18" s="36">
        <f t="shared" si="3"/>
        <v>30.826291103075754</v>
      </c>
      <c r="M18">
        <f t="shared" si="4"/>
        <v>26.09936641221374</v>
      </c>
      <c r="N18">
        <f t="shared" si="5"/>
        <v>1.5665918547355488</v>
      </c>
      <c r="O18">
        <f t="shared" si="6"/>
        <v>3.1603328361264649</v>
      </c>
      <c r="P18">
        <f t="shared" si="7"/>
        <v>4.7404992541896975</v>
      </c>
      <c r="Q18" s="9">
        <f t="shared" si="8"/>
        <v>4.16713433359656</v>
      </c>
    </row>
    <row r="19" spans="1:17" ht="19" x14ac:dyDescent="0.25">
      <c r="A19" s="29" t="s">
        <v>37</v>
      </c>
      <c r="B19">
        <v>473.17599999999999</v>
      </c>
      <c r="D19" s="28">
        <v>8.2057366080959995E-2</v>
      </c>
      <c r="E19">
        <v>275.14999999999998</v>
      </c>
      <c r="F19">
        <f t="shared" si="0"/>
        <v>0.47317599999999999</v>
      </c>
      <c r="G19">
        <v>2.3580000000000005</v>
      </c>
      <c r="H19">
        <v>31.135999999999999</v>
      </c>
      <c r="I19" s="9">
        <f t="shared" si="1"/>
        <v>9.2721858248957698</v>
      </c>
      <c r="J19">
        <f>TC!$C$6</f>
        <v>53.218390804597696</v>
      </c>
      <c r="K19" s="9">
        <f t="shared" si="2"/>
        <v>21.863814175104231</v>
      </c>
      <c r="L19" s="36">
        <f t="shared" si="3"/>
        <v>26.784192150019681</v>
      </c>
      <c r="M19">
        <f t="shared" si="4"/>
        <v>21.863814175104231</v>
      </c>
      <c r="N19">
        <f t="shared" si="5"/>
        <v>1.630705915967755</v>
      </c>
      <c r="O19">
        <f t="shared" si="6"/>
        <v>3.2896720589476942</v>
      </c>
      <c r="P19">
        <f t="shared" si="7"/>
        <v>4.9345080884215413</v>
      </c>
      <c r="Q19" s="9">
        <f t="shared" si="8"/>
        <v>4.3376777364742285</v>
      </c>
    </row>
    <row r="20" spans="1:17" ht="19" x14ac:dyDescent="0.25">
      <c r="A20" s="29" t="s">
        <v>38</v>
      </c>
      <c r="B20">
        <v>473.17599999999999</v>
      </c>
      <c r="D20" s="28">
        <v>8.2057366080959995E-2</v>
      </c>
      <c r="E20">
        <v>275.14999999999998</v>
      </c>
      <c r="F20">
        <f t="shared" si="0"/>
        <v>0.47317599999999999</v>
      </c>
      <c r="G20">
        <v>2.8620000000000001</v>
      </c>
      <c r="H20">
        <v>30.202000000000002</v>
      </c>
      <c r="I20" s="9">
        <f t="shared" si="1"/>
        <v>7.8203003625064733</v>
      </c>
      <c r="J20">
        <f>TC!$C$6</f>
        <v>53.218390804597696</v>
      </c>
      <c r="K20" s="9">
        <f t="shared" si="2"/>
        <v>22.381699637493529</v>
      </c>
      <c r="L20" s="36">
        <f t="shared" si="3"/>
        <v>26.531620097196214</v>
      </c>
      <c r="M20">
        <f t="shared" si="4"/>
        <v>22.381699637493529</v>
      </c>
      <c r="N20">
        <f t="shared" si="5"/>
        <v>1.3753617870279728</v>
      </c>
      <c r="O20">
        <f t="shared" si="6"/>
        <v>2.77455867267471</v>
      </c>
      <c r="P20">
        <f t="shared" si="7"/>
        <v>4.1618380090120652</v>
      </c>
      <c r="Q20" s="9">
        <f t="shared" si="8"/>
        <v>3.6584623534944081</v>
      </c>
    </row>
    <row r="21" spans="1:17" ht="19" x14ac:dyDescent="0.25">
      <c r="A21" s="29" t="s">
        <v>39</v>
      </c>
      <c r="B21">
        <v>473.17599999999999</v>
      </c>
      <c r="D21" s="28">
        <v>8.2057366080959995E-2</v>
      </c>
      <c r="E21">
        <v>275.14999999999998</v>
      </c>
      <c r="F21">
        <f t="shared" si="0"/>
        <v>0.47317599999999999</v>
      </c>
      <c r="G21">
        <v>3.3460000000000001</v>
      </c>
      <c r="H21">
        <v>32.445999999999998</v>
      </c>
      <c r="I21" s="9">
        <f t="shared" si="1"/>
        <v>7.4657156005522314</v>
      </c>
      <c r="J21">
        <f>TC!$C$6</f>
        <v>53.218390804597696</v>
      </c>
      <c r="K21" s="9">
        <f t="shared" si="2"/>
        <v>24.980284399447768</v>
      </c>
      <c r="L21" s="36">
        <f t="shared" si="3"/>
        <v>28.942040915296371</v>
      </c>
      <c r="M21">
        <f t="shared" si="4"/>
        <v>24.980284399447768</v>
      </c>
      <c r="N21">
        <f t="shared" si="5"/>
        <v>1.3130007127407997</v>
      </c>
      <c r="O21">
        <f t="shared" si="6"/>
        <v>2.6487558031078029</v>
      </c>
      <c r="P21">
        <f t="shared" si="7"/>
        <v>3.9731337046617043</v>
      </c>
      <c r="Q21" s="9">
        <f t="shared" si="8"/>
        <v>3.492581895890527</v>
      </c>
    </row>
    <row r="22" spans="1:17" ht="19" x14ac:dyDescent="0.25">
      <c r="A22" s="29" t="s">
        <v>40</v>
      </c>
      <c r="B22">
        <v>473.17599999999999</v>
      </c>
      <c r="D22" s="28">
        <v>8.2057366080959995E-2</v>
      </c>
      <c r="E22">
        <v>275.14999999999998</v>
      </c>
      <c r="F22">
        <f t="shared" si="0"/>
        <v>0.47317599999999999</v>
      </c>
      <c r="G22">
        <v>2.3029999999999999</v>
      </c>
      <c r="H22">
        <v>37.768999999999998</v>
      </c>
      <c r="I22" s="9">
        <f t="shared" si="1"/>
        <v>11.434756282167726</v>
      </c>
      <c r="J22">
        <f>TC!$C$7</f>
        <v>36.678160919540232</v>
      </c>
      <c r="K22" s="9">
        <f t="shared" si="2"/>
        <v>26.334243717832273</v>
      </c>
      <c r="L22" s="36">
        <f t="shared" si="3"/>
        <v>31.852349497975435</v>
      </c>
      <c r="M22">
        <f t="shared" si="4"/>
        <v>26.334243717832273</v>
      </c>
      <c r="N22">
        <f t="shared" si="5"/>
        <v>2.7220669068560195</v>
      </c>
      <c r="O22">
        <f t="shared" si="6"/>
        <v>2.7960388732871428</v>
      </c>
      <c r="P22">
        <f t="shared" si="7"/>
        <v>4.194058309930714</v>
      </c>
      <c r="Q22" s="9">
        <f t="shared" si="8"/>
        <v>7.2406979722370117</v>
      </c>
    </row>
    <row r="23" spans="1:17" ht="19" x14ac:dyDescent="0.25">
      <c r="A23" s="29" t="s">
        <v>41</v>
      </c>
      <c r="B23">
        <v>473.17599999999999</v>
      </c>
      <c r="D23" s="28">
        <v>8.2057366080959995E-2</v>
      </c>
      <c r="E23">
        <v>275.14999999999998</v>
      </c>
      <c r="F23">
        <f t="shared" si="0"/>
        <v>0.47317599999999999</v>
      </c>
      <c r="G23">
        <v>2.9509999999999996</v>
      </c>
      <c r="H23">
        <v>34.042999999999999</v>
      </c>
      <c r="I23" s="9">
        <f t="shared" si="1"/>
        <v>8.6162996709693758</v>
      </c>
      <c r="J23">
        <f>TC!$C$7</f>
        <v>36.678160919540232</v>
      </c>
      <c r="K23" s="9">
        <f t="shared" si="2"/>
        <v>25.426700329030623</v>
      </c>
      <c r="L23" s="36">
        <f t="shared" si="3"/>
        <v>29.584694766740526</v>
      </c>
      <c r="M23">
        <f t="shared" si="4"/>
        <v>25.426700329030623</v>
      </c>
      <c r="N23">
        <f t="shared" si="5"/>
        <v>2.0511275986245914</v>
      </c>
      <c r="O23">
        <f t="shared" si="6"/>
        <v>2.1068668390853089</v>
      </c>
      <c r="P23">
        <f t="shared" si="7"/>
        <v>3.1603002586279634</v>
      </c>
      <c r="Q23" s="9">
        <f t="shared" si="8"/>
        <v>5.4559994123414128</v>
      </c>
    </row>
    <row r="24" spans="1:17" ht="19" x14ac:dyDescent="0.25">
      <c r="A24" s="29" t="s">
        <v>42</v>
      </c>
      <c r="B24">
        <v>473.17599999999999</v>
      </c>
      <c r="D24" s="28">
        <v>8.2057366080959995E-2</v>
      </c>
      <c r="E24">
        <v>275.14999999999998</v>
      </c>
      <c r="F24">
        <f t="shared" si="0"/>
        <v>0.47317599999999999</v>
      </c>
      <c r="G24">
        <v>2.484</v>
      </c>
      <c r="H24">
        <v>38.991999999999997</v>
      </c>
      <c r="I24" s="9">
        <f t="shared" si="1"/>
        <v>11.191733639494833</v>
      </c>
      <c r="J24">
        <f>TC!$C$7</f>
        <v>36.678160919540232</v>
      </c>
      <c r="K24" s="9">
        <f t="shared" si="2"/>
        <v>27.800266360505162</v>
      </c>
      <c r="L24" s="36">
        <f t="shared" si="3"/>
        <v>33.201095950745589</v>
      </c>
      <c r="M24">
        <f t="shared" si="4"/>
        <v>27.800266360505162</v>
      </c>
      <c r="N24">
        <f t="shared" si="5"/>
        <v>2.6642148742536098</v>
      </c>
      <c r="O24">
        <f t="shared" si="6"/>
        <v>2.7366147159868208</v>
      </c>
      <c r="P24">
        <f t="shared" si="7"/>
        <v>4.104922073980231</v>
      </c>
      <c r="Q24" s="9">
        <f t="shared" si="8"/>
        <v>7.0868115655146022</v>
      </c>
    </row>
    <row r="25" spans="1:17" ht="19" x14ac:dyDescent="0.25">
      <c r="A25" s="29" t="s">
        <v>43</v>
      </c>
      <c r="B25">
        <v>473.17599999999999</v>
      </c>
      <c r="D25" s="28">
        <v>8.2057366080959995E-2</v>
      </c>
      <c r="E25">
        <v>275.14999999999998</v>
      </c>
      <c r="F25">
        <f t="shared" si="0"/>
        <v>0.47317599999999999</v>
      </c>
      <c r="G25">
        <v>2.0529999999999999</v>
      </c>
      <c r="H25">
        <v>33.503</v>
      </c>
      <c r="I25" s="9">
        <f t="shared" si="1"/>
        <v>10.9737962659679</v>
      </c>
      <c r="J25">
        <f>TC!$C$7</f>
        <v>36.678160919540232</v>
      </c>
      <c r="K25" s="9">
        <f t="shared" si="2"/>
        <v>22.529203734032102</v>
      </c>
      <c r="L25" s="36">
        <f t="shared" si="3"/>
        <v>27.824862610451234</v>
      </c>
      <c r="M25">
        <f t="shared" si="4"/>
        <v>22.529203734032102</v>
      </c>
      <c r="N25">
        <f t="shared" si="5"/>
        <v>2.61233444080966</v>
      </c>
      <c r="O25">
        <f t="shared" si="6"/>
        <v>2.6833244356094692</v>
      </c>
      <c r="P25">
        <f t="shared" si="7"/>
        <v>4.0249866534142038</v>
      </c>
      <c r="Q25" s="9">
        <f t="shared" si="8"/>
        <v>6.9488096125536964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CDA3-E325-DC42-AB19-8D60BA90136C}">
  <dimension ref="A1:E7"/>
  <sheetViews>
    <sheetView workbookViewId="0">
      <selection activeCell="C3" sqref="C3"/>
    </sheetView>
  </sheetViews>
  <sheetFormatPr baseColWidth="10" defaultRowHeight="16" x14ac:dyDescent="0.2"/>
  <sheetData>
    <row r="1" spans="1:5" x14ac:dyDescent="0.2">
      <c r="A1" t="s">
        <v>64</v>
      </c>
      <c r="B1" t="s">
        <v>65</v>
      </c>
      <c r="C1" t="s">
        <v>72</v>
      </c>
      <c r="D1" t="s">
        <v>73</v>
      </c>
      <c r="E1" t="s">
        <v>74</v>
      </c>
    </row>
    <row r="2" spans="1:5" x14ac:dyDescent="0.2">
      <c r="A2" t="s">
        <v>66</v>
      </c>
      <c r="B2">
        <v>3.6066666666666669</v>
      </c>
      <c r="C2">
        <f t="shared" ref="C2:C7" si="0">(E2*B2)/D2</f>
        <v>6.2183908045977017</v>
      </c>
      <c r="D2">
        <v>58</v>
      </c>
      <c r="E2">
        <v>100</v>
      </c>
    </row>
    <row r="3" spans="1:5" x14ac:dyDescent="0.2">
      <c r="A3" t="s">
        <v>67</v>
      </c>
      <c r="B3">
        <v>1.8333333333333333</v>
      </c>
      <c r="C3">
        <f t="shared" si="0"/>
        <v>3.1609195402298846</v>
      </c>
      <c r="D3">
        <v>58</v>
      </c>
      <c r="E3">
        <v>100</v>
      </c>
    </row>
    <row r="4" spans="1:5" x14ac:dyDescent="0.2">
      <c r="A4" t="s">
        <v>68</v>
      </c>
      <c r="B4">
        <v>37.889999999999993</v>
      </c>
      <c r="C4">
        <f t="shared" si="0"/>
        <v>65.327586206896541</v>
      </c>
      <c r="D4">
        <v>58</v>
      </c>
      <c r="E4">
        <v>100</v>
      </c>
    </row>
    <row r="5" spans="1:5" x14ac:dyDescent="0.2">
      <c r="A5" t="s">
        <v>69</v>
      </c>
      <c r="B5">
        <v>39.61333333333333</v>
      </c>
      <c r="C5">
        <f t="shared" si="0"/>
        <v>68.298850574712645</v>
      </c>
      <c r="D5">
        <v>58</v>
      </c>
      <c r="E5">
        <v>100</v>
      </c>
    </row>
    <row r="6" spans="1:5" x14ac:dyDescent="0.2">
      <c r="A6" t="s">
        <v>70</v>
      </c>
      <c r="B6">
        <v>30.866666666666664</v>
      </c>
      <c r="C6">
        <f t="shared" si="0"/>
        <v>53.218390804597696</v>
      </c>
      <c r="D6">
        <v>58</v>
      </c>
      <c r="E6">
        <v>100</v>
      </c>
    </row>
    <row r="7" spans="1:5" x14ac:dyDescent="0.2">
      <c r="A7" t="s">
        <v>71</v>
      </c>
      <c r="B7">
        <v>21.273333333333333</v>
      </c>
      <c r="C7">
        <f t="shared" si="0"/>
        <v>36.678160919540232</v>
      </c>
      <c r="D7">
        <v>58</v>
      </c>
      <c r="E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33B3-E6B4-0F44-B425-7B6173A22B88}">
  <dimension ref="A1:AS92"/>
  <sheetViews>
    <sheetView zoomScale="81" zoomScaleNormal="43" workbookViewId="0"/>
  </sheetViews>
  <sheetFormatPr baseColWidth="10" defaultRowHeight="16" x14ac:dyDescent="0.2"/>
  <cols>
    <col min="1" max="1" width="30.1640625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1" spans="1:43" x14ac:dyDescent="0.2">
      <c r="A1" s="47" t="s">
        <v>19</v>
      </c>
    </row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  <c r="Y2" s="15"/>
    </row>
    <row r="3" spans="1:43" x14ac:dyDescent="0.2">
      <c r="A3" t="s">
        <v>0</v>
      </c>
      <c r="Y3" s="15"/>
    </row>
    <row r="4" spans="1:43" ht="19" x14ac:dyDescent="0.25">
      <c r="A4" s="29" t="s">
        <v>20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21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22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23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24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25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26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27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28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29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30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31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32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33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34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35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36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37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12</v>
      </c>
      <c r="AS21" t="s">
        <v>12</v>
      </c>
    </row>
    <row r="22" spans="1:45" ht="19" x14ac:dyDescent="0.25">
      <c r="A22" s="29" t="s">
        <v>38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39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40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41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42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43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9" spans="1:39" x14ac:dyDescent="0.2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048-A9D7-A643-AB2C-B7414D6C19FE}">
  <dimension ref="A1:AS92"/>
  <sheetViews>
    <sheetView zoomScale="81" zoomScaleNormal="43" workbookViewId="0"/>
  </sheetViews>
  <sheetFormatPr baseColWidth="10" defaultRowHeight="16" x14ac:dyDescent="0.2"/>
  <cols>
    <col min="1" max="1" width="30.6640625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1" spans="1:43" x14ac:dyDescent="0.2">
      <c r="A1" s="47" t="s">
        <v>19</v>
      </c>
    </row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43" x14ac:dyDescent="0.2">
      <c r="A3" t="s">
        <v>0</v>
      </c>
    </row>
    <row r="4" spans="1:43" ht="19" x14ac:dyDescent="0.25">
      <c r="A4" s="29" t="s">
        <v>20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21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22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23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24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25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26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27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28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29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30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31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32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33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34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35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36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37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12</v>
      </c>
      <c r="AS21" t="s">
        <v>12</v>
      </c>
    </row>
    <row r="22" spans="1:45" ht="19" x14ac:dyDescent="0.25">
      <c r="A22" s="29" t="s">
        <v>38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39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40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41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42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43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9" spans="1:39" x14ac:dyDescent="0.2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6B0-E687-0F4F-84F0-459BDD81BCF8}">
  <dimension ref="A1:W31"/>
  <sheetViews>
    <sheetView workbookViewId="0">
      <selection activeCell="W4" sqref="W4"/>
    </sheetView>
  </sheetViews>
  <sheetFormatPr baseColWidth="10" defaultRowHeight="16" x14ac:dyDescent="0.2"/>
  <cols>
    <col min="1" max="1" width="32" customWidth="1"/>
    <col min="23" max="23" width="37" style="46" customWidth="1"/>
  </cols>
  <sheetData>
    <row r="1" spans="1:23" x14ac:dyDescent="0.2">
      <c r="A1" s="48" t="s">
        <v>85</v>
      </c>
    </row>
    <row r="2" spans="1:2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23" x14ac:dyDescent="0.2">
      <c r="A3" t="s">
        <v>0</v>
      </c>
      <c r="W3" s="46" t="s">
        <v>83</v>
      </c>
    </row>
    <row r="4" spans="1:23" ht="19" x14ac:dyDescent="0.25">
      <c r="A4" s="29" t="s">
        <v>20</v>
      </c>
      <c r="B4">
        <f>Calculations!Q3</f>
        <v>0.81424939302971677</v>
      </c>
      <c r="C4">
        <f>Calculations!Y3</f>
        <v>11.138878049041036</v>
      </c>
      <c r="D4">
        <f>Calculations!AG3</f>
        <v>6.5800548467663154</v>
      </c>
      <c r="E4">
        <f>Calculations!AO3</f>
        <v>3.0899719756939357</v>
      </c>
      <c r="F4">
        <f>Calculations!AW3</f>
        <v>2.4394877391985634</v>
      </c>
      <c r="G4">
        <f>Calculations!BE3</f>
        <v>3.5675369844175142</v>
      </c>
      <c r="H4">
        <f>Calculations!BM3</f>
        <v>1.7390851602460606</v>
      </c>
      <c r="I4">
        <f>Calculations!BU3</f>
        <v>2.4075247671137023</v>
      </c>
      <c r="J4">
        <f>Calculations!CC3</f>
        <v>5.5168375276609645</v>
      </c>
      <c r="K4">
        <f>Calculations!CK3</f>
        <v>18.138356643599145</v>
      </c>
      <c r="L4">
        <f>Calculations!CS3</f>
        <v>25.188070432790695</v>
      </c>
      <c r="M4">
        <f>Calculations!DA3</f>
        <v>20.135989226550929</v>
      </c>
      <c r="N4">
        <f>Calculations!DI3</f>
        <v>20.765342364689907</v>
      </c>
      <c r="O4">
        <f>Calculations!DQ3</f>
        <v>10.602793227600262</v>
      </c>
      <c r="P4">
        <f>Calculations!DY3</f>
        <v>7.2331547016318476</v>
      </c>
      <c r="Q4">
        <f>Calculations!EG3</f>
        <v>6.1691181458406081</v>
      </c>
      <c r="R4">
        <f>Calculations!EO3</f>
        <v>8.427474339816488</v>
      </c>
      <c r="S4">
        <f>Calculations!EW3</f>
        <v>7.2668807814440477</v>
      </c>
      <c r="T4">
        <f>Calculations!FE3</f>
        <v>6.3860436911576599</v>
      </c>
      <c r="U4">
        <f>Calculations!FM3</f>
        <v>4.2832336982122241</v>
      </c>
      <c r="W4" s="46">
        <f>SUM(B4:U4)</f>
        <v>171.89008369650165</v>
      </c>
    </row>
    <row r="5" spans="1:23" ht="19" x14ac:dyDescent="0.25">
      <c r="A5" s="29" t="s">
        <v>21</v>
      </c>
      <c r="B5">
        <f>Calculations!Q4</f>
        <v>1.4983310826920311</v>
      </c>
      <c r="C5">
        <f>Calculations!Y4</f>
        <v>17.238577662232185</v>
      </c>
      <c r="D5">
        <f>Calculations!AG4</f>
        <v>8.4821497687952636</v>
      </c>
      <c r="E5">
        <f>Calculations!AO4</f>
        <v>5.1847602231838401</v>
      </c>
      <c r="F5">
        <f>Calculations!AW4</f>
        <v>4.196940598501282</v>
      </c>
      <c r="G5">
        <f>Calculations!BE4</f>
        <v>4.0190323306179483</v>
      </c>
      <c r="H5">
        <f>Calculations!BM4</f>
        <v>2.1777487755192921</v>
      </c>
      <c r="I5">
        <f>Calculations!BU4</f>
        <v>2.9377619145913982</v>
      </c>
      <c r="J5">
        <f>Calculations!CC4</f>
        <v>5.2022318465747208</v>
      </c>
      <c r="K5">
        <f>Calculations!CK4</f>
        <v>22.497974846972756</v>
      </c>
      <c r="L5">
        <f>Calculations!CS4</f>
        <v>24.87514581821948</v>
      </c>
      <c r="M5">
        <f>Calculations!DA4</f>
        <v>23.877445079300493</v>
      </c>
      <c r="N5">
        <f>Calculations!DI4</f>
        <v>16.890170729037798</v>
      </c>
      <c r="O5">
        <f>Calculations!DQ4</f>
        <v>11.894160170070009</v>
      </c>
      <c r="P5">
        <f>Calculations!DY4</f>
        <v>9.7950205960800112</v>
      </c>
      <c r="Q5">
        <f>Calculations!EG4</f>
        <v>10.144089161463048</v>
      </c>
      <c r="R5">
        <f>Calculations!EO4</f>
        <v>8.9735497044705994</v>
      </c>
      <c r="S5">
        <f>Calculations!EW4</f>
        <v>9.8579320240723458</v>
      </c>
      <c r="T5">
        <f>Calculations!FE4</f>
        <v>9.9191258905804673</v>
      </c>
      <c r="U5">
        <f>Calculations!FM4</f>
        <v>5.4152937631520244</v>
      </c>
      <c r="W5" s="46">
        <f t="shared" ref="W5:W27" si="0">SUM(B5:U5)</f>
        <v>205.07744198612698</v>
      </c>
    </row>
    <row r="6" spans="1:23" ht="19" x14ac:dyDescent="0.25">
      <c r="A6" s="29" t="s">
        <v>22</v>
      </c>
      <c r="B6">
        <f>Calculations!Q5</f>
        <v>2.0061916502021764</v>
      </c>
      <c r="C6">
        <f>Calculations!Y5</f>
        <v>17.045782761967274</v>
      </c>
      <c r="D6">
        <f>Calculations!AG5</f>
        <v>8.0355295054965534</v>
      </c>
      <c r="E6">
        <f>Calculations!AO5</f>
        <v>6.2939325914507105</v>
      </c>
      <c r="F6">
        <f>Calculations!AW5</f>
        <v>4.019553797515016</v>
      </c>
      <c r="G6">
        <f>Calculations!BE5</f>
        <v>5.772148237722412</v>
      </c>
      <c r="H6">
        <f>Calculations!BM5</f>
        <v>2.8240674929241911</v>
      </c>
      <c r="I6">
        <f>Calculations!BU5</f>
        <v>3.464093407398702</v>
      </c>
      <c r="J6">
        <f>Calculations!CC5</f>
        <v>6.9550049797840598</v>
      </c>
      <c r="K6">
        <f>Calculations!CK5</f>
        <v>26.777901057490759</v>
      </c>
      <c r="L6">
        <f>Calculations!CS5</f>
        <v>23.593448182546911</v>
      </c>
      <c r="M6">
        <f>Calculations!DA5</f>
        <v>18.368828857736354</v>
      </c>
      <c r="N6">
        <f>Calculations!DI5</f>
        <v>15.729476296653576</v>
      </c>
      <c r="O6">
        <f>Calculations!DQ5</f>
        <v>10.885234180903559</v>
      </c>
      <c r="P6">
        <f>Calculations!DY5</f>
        <v>9.0871383624408324</v>
      </c>
      <c r="Q6">
        <f>Calculations!EG5</f>
        <v>7.9761808638027976</v>
      </c>
      <c r="R6">
        <f>Calculations!EO5</f>
        <v>9.6288584327502615</v>
      </c>
      <c r="S6">
        <f>Calculations!EW5</f>
        <v>10.307051932063743</v>
      </c>
      <c r="T6">
        <f>Calculations!FE5</f>
        <v>19.308636478672632</v>
      </c>
      <c r="U6">
        <f>Calculations!FM5</f>
        <v>6.3225753719798785</v>
      </c>
      <c r="W6" s="46">
        <f t="shared" si="0"/>
        <v>214.40163444150238</v>
      </c>
    </row>
    <row r="7" spans="1:23" ht="19" x14ac:dyDescent="0.25">
      <c r="A7" s="29" t="s">
        <v>23</v>
      </c>
      <c r="B7">
        <f>Calculations!Q6</f>
        <v>1.8151629360396218</v>
      </c>
      <c r="C7">
        <f>Calculations!Y6</f>
        <v>8.0044906557001632</v>
      </c>
      <c r="D7">
        <f>Calculations!AG6</f>
        <v>4.9097163097481547</v>
      </c>
      <c r="E7">
        <f>Calculations!AO6</f>
        <v>2.8269369446963792</v>
      </c>
      <c r="F7">
        <f>Calculations!AW6</f>
        <v>2.1723341854794995</v>
      </c>
      <c r="G7">
        <f>Calculations!BE6</f>
        <v>2.290748575761814</v>
      </c>
      <c r="H7">
        <f>Calculations!BM6</f>
        <v>0.86730679776303987</v>
      </c>
      <c r="I7">
        <f>Calculations!BU6</f>
        <v>1.714862521414672</v>
      </c>
      <c r="J7">
        <f>Calculations!CC6</f>
        <v>3.9372986202353664</v>
      </c>
      <c r="K7">
        <f>Calculations!CK6</f>
        <v>15.316686930617575</v>
      </c>
      <c r="L7">
        <f>Calculations!CS6</f>
        <v>13.513392466958345</v>
      </c>
      <c r="M7">
        <f>Calculations!DA6</f>
        <v>12.52654384142139</v>
      </c>
      <c r="N7">
        <f>Calculations!DI6</f>
        <v>11.762046100746945</v>
      </c>
      <c r="O7">
        <f>Calculations!DQ6</f>
        <v>10.068929333494498</v>
      </c>
      <c r="P7">
        <f>Calculations!DY6</f>
        <v>5.8916958582790384</v>
      </c>
      <c r="Q7">
        <f>Calculations!EG6</f>
        <v>5.3845017044245012</v>
      </c>
      <c r="R7">
        <f>Calculations!EO6</f>
        <v>6.6164324531999021</v>
      </c>
      <c r="S7">
        <f>Calculations!EW6</f>
        <v>6.0363645647960844</v>
      </c>
      <c r="T7">
        <f>Calculations!FE6</f>
        <v>5.4519981907057913</v>
      </c>
      <c r="U7">
        <f>Calculations!FM6</f>
        <v>3.7824559075357267</v>
      </c>
      <c r="W7" s="46">
        <f t="shared" si="0"/>
        <v>124.88990489901849</v>
      </c>
    </row>
    <row r="8" spans="1:23" ht="19" x14ac:dyDescent="0.25">
      <c r="A8" s="29" t="s">
        <v>24</v>
      </c>
      <c r="B8">
        <f>Calculations!Q7</f>
        <v>1.373892636434062</v>
      </c>
      <c r="C8">
        <f>Calculations!Y7</f>
        <v>5.9715024562006729</v>
      </c>
      <c r="D8">
        <f>Calculations!AG7</f>
        <v>3.042026388095743</v>
      </c>
      <c r="E8">
        <f>Calculations!AO7</f>
        <v>1.9131816708444664</v>
      </c>
      <c r="F8">
        <f>Calculations!AW7</f>
        <v>1.2417301625550605</v>
      </c>
      <c r="G8">
        <f>Calculations!BE7</f>
        <v>1.6164068579108177</v>
      </c>
      <c r="H8">
        <f>Calculations!BM7</f>
        <v>0.96520659282489518</v>
      </c>
      <c r="I8">
        <f>Calculations!BU7</f>
        <v>1.0837747375512621</v>
      </c>
      <c r="J8">
        <f>Calculations!CC7</f>
        <v>3.7161754233834117</v>
      </c>
      <c r="K8">
        <f>Calculations!CK7</f>
        <v>11.316589169306479</v>
      </c>
      <c r="L8">
        <f>Calculations!CS7</f>
        <v>10.774010402719494</v>
      </c>
      <c r="M8">
        <f>Calculations!DA7</f>
        <v>18.795787270329903</v>
      </c>
      <c r="N8">
        <f>Calculations!DI7</f>
        <v>24.463550403672535</v>
      </c>
      <c r="O8">
        <f>Calculations!DQ7</f>
        <v>12.097864363089286</v>
      </c>
      <c r="P8">
        <f>Calculations!DY7</f>
        <v>10.345871501846382</v>
      </c>
      <c r="Q8">
        <f>Calculations!EG7</f>
        <v>5.8337271047138115</v>
      </c>
      <c r="R8">
        <f>Calculations!EO7</f>
        <v>6.8434304698306789</v>
      </c>
      <c r="S8">
        <f>Calculations!EW7</f>
        <v>6.7951515736721042</v>
      </c>
      <c r="T8">
        <f>Calculations!FE7</f>
        <v>7.5886571897016211</v>
      </c>
      <c r="U8">
        <f>Calculations!FM7</f>
        <v>3.961543433216395</v>
      </c>
      <c r="W8" s="46">
        <f t="shared" si="0"/>
        <v>139.74007980789909</v>
      </c>
    </row>
    <row r="9" spans="1:23" ht="19" x14ac:dyDescent="0.25">
      <c r="A9" s="29" t="s">
        <v>25</v>
      </c>
      <c r="B9">
        <f>Calculations!Q8</f>
        <v>1.8643191440823859</v>
      </c>
      <c r="C9">
        <f>Calculations!Y8</f>
        <v>6.9716567181973943</v>
      </c>
      <c r="D9">
        <f>Calculations!AG8</f>
        <v>4.1903225424004837</v>
      </c>
      <c r="E9">
        <f>Calculations!AO8</f>
        <v>2.5085689419465065</v>
      </c>
      <c r="F9">
        <f>Calculations!AW8</f>
        <v>2.0456247488772799</v>
      </c>
      <c r="G9">
        <f>Calculations!BE8</f>
        <v>1.6853448291411519</v>
      </c>
      <c r="H9">
        <f>Calculations!BM8</f>
        <v>1.1177271029529292</v>
      </c>
      <c r="I9">
        <f>Calculations!BU8</f>
        <v>1.0823821728147678</v>
      </c>
      <c r="J9">
        <f>Calculations!CC8</f>
        <v>2.1026334034800502</v>
      </c>
      <c r="K9">
        <f>Calculations!CK8</f>
        <v>5.4874224317594926</v>
      </c>
      <c r="L9">
        <f>Calculations!CS8</f>
        <v>7.8901687872593058</v>
      </c>
      <c r="M9">
        <f>Calculations!DA8</f>
        <v>16.329122181378331</v>
      </c>
      <c r="N9">
        <f>Calculations!DI8</f>
        <v>19.472265341534232</v>
      </c>
      <c r="O9">
        <f>Calculations!DQ8</f>
        <v>12.468757542140038</v>
      </c>
      <c r="P9">
        <f>Calculations!DY8</f>
        <v>7.2916728732799552</v>
      </c>
      <c r="Q9">
        <f>Calculations!EG8</f>
        <v>6.3265210201492845</v>
      </c>
      <c r="R9">
        <f>Calculations!EO8</f>
        <v>6.2638813184025386</v>
      </c>
      <c r="S9">
        <f>Calculations!EW8</f>
        <v>6.861672732224652</v>
      </c>
      <c r="T9">
        <f>Calculations!FE8</f>
        <v>6.2353283670770407</v>
      </c>
      <c r="U9">
        <f>Calculations!FM8</f>
        <v>3.1964653896450539</v>
      </c>
      <c r="W9" s="46">
        <f t="shared" si="0"/>
        <v>121.39185758874287</v>
      </c>
    </row>
    <row r="10" spans="1:23" ht="19" x14ac:dyDescent="0.25">
      <c r="A10" s="29" t="s">
        <v>26</v>
      </c>
      <c r="B10">
        <f>Calculations!Q9</f>
        <v>1.8095200960047704</v>
      </c>
      <c r="C10">
        <f>Calculations!Y9</f>
        <v>6.2854608652027411</v>
      </c>
      <c r="D10">
        <f>Calculations!AG9</f>
        <v>3.8757769915772324</v>
      </c>
      <c r="E10">
        <f>Calculations!AO9</f>
        <v>2.8547184386678142</v>
      </c>
      <c r="F10">
        <f>Calculations!AW9</f>
        <v>1.5036212882038091</v>
      </c>
      <c r="G10">
        <f>Calculations!BE9</f>
        <v>1.6660847060291983</v>
      </c>
      <c r="H10">
        <f>Calculations!BM9</f>
        <v>1.0921363504169015</v>
      </c>
      <c r="I10">
        <f>Calculations!BU9</f>
        <v>1.1428012602246924</v>
      </c>
      <c r="J10">
        <f>Calculations!CC9</f>
        <v>3.2360071232697987</v>
      </c>
      <c r="K10">
        <f>Calculations!CK9</f>
        <v>9.1689126293963508</v>
      </c>
      <c r="L10">
        <f>Calculations!CS9</f>
        <v>10.019119616280014</v>
      </c>
      <c r="M10">
        <f>Calculations!DA9</f>
        <v>17.263474177622271</v>
      </c>
      <c r="N10">
        <f>Calculations!DI9</f>
        <v>16.204803011674493</v>
      </c>
      <c r="O10">
        <f>Calculations!DQ9</f>
        <v>8.8440667841539611</v>
      </c>
      <c r="P10">
        <f>Calculations!DY9</f>
        <v>5.866587126133572</v>
      </c>
      <c r="Q10">
        <f>Calculations!EG9</f>
        <v>3.9671561356854097</v>
      </c>
      <c r="R10">
        <f>Calculations!EO9</f>
        <v>4.4505122592348698</v>
      </c>
      <c r="S10">
        <f>Calculations!EW9</f>
        <v>4.4764599480083263</v>
      </c>
      <c r="T10">
        <f>Calculations!FE9</f>
        <v>4.8119842304621079</v>
      </c>
      <c r="U10">
        <f>Calculations!FM9</f>
        <v>2.1500485030914565</v>
      </c>
      <c r="W10" s="46">
        <f t="shared" si="0"/>
        <v>110.6892515413398</v>
      </c>
    </row>
    <row r="11" spans="1:23" ht="19" x14ac:dyDescent="0.25">
      <c r="A11" s="29" t="s">
        <v>27</v>
      </c>
      <c r="B11">
        <f>Calculations!Q10</f>
        <v>2.3287539885975801</v>
      </c>
      <c r="C11">
        <f>Calculations!Y10</f>
        <v>8.9635409351129951</v>
      </c>
      <c r="D11">
        <f>Calculations!AG10</f>
        <v>3.9663449024787791</v>
      </c>
      <c r="E11">
        <f>Calculations!AO10</f>
        <v>2.2457824455783175</v>
      </c>
      <c r="F11">
        <f>Calculations!AW10</f>
        <v>2.0617172778467214</v>
      </c>
      <c r="G11">
        <f>Calculations!BE10</f>
        <v>1.6799399623341049</v>
      </c>
      <c r="H11">
        <f>Calculations!BM10</f>
        <v>0.73477377712131631</v>
      </c>
      <c r="I11">
        <f>Calculations!BU10</f>
        <v>1.1956490493228054</v>
      </c>
      <c r="J11">
        <f>Calculations!CC10</f>
        <v>1.9055377029696992</v>
      </c>
      <c r="K11">
        <f>Calculations!CK10</f>
        <v>6.9037806504907717</v>
      </c>
      <c r="L11">
        <f>Calculations!CS10</f>
        <v>8.559786521670512</v>
      </c>
      <c r="M11">
        <f>Calculations!DA10</f>
        <v>17.350790928712645</v>
      </c>
      <c r="N11">
        <f>Calculations!DI10</f>
        <v>20.023022207414549</v>
      </c>
      <c r="O11">
        <f>Calculations!DQ10</f>
        <v>10.712058621918571</v>
      </c>
      <c r="P11">
        <f>Calculations!DY10</f>
        <v>7.1703115976781922</v>
      </c>
      <c r="Q11">
        <f>Calculations!EG10</f>
        <v>5.1480680766796496</v>
      </c>
      <c r="R11">
        <f>Calculations!EO10</f>
        <v>5.0003198700898999</v>
      </c>
      <c r="S11">
        <f>Calculations!EW10</f>
        <v>4.5114477445860572</v>
      </c>
      <c r="T11">
        <f>Calculations!FE10</f>
        <v>4.1235608245605553</v>
      </c>
      <c r="U11">
        <f>Calculations!FM10</f>
        <v>2.5362215740991645</v>
      </c>
      <c r="W11" s="46">
        <f t="shared" si="0"/>
        <v>117.12140865926288</v>
      </c>
    </row>
    <row r="12" spans="1:23" ht="19" x14ac:dyDescent="0.25">
      <c r="A12" s="29" t="s">
        <v>28</v>
      </c>
      <c r="B12">
        <f>Calculations!Q11</f>
        <v>4.281243334911915</v>
      </c>
      <c r="C12">
        <f>Calculations!Y11</f>
        <v>27.557339202871113</v>
      </c>
      <c r="D12">
        <f>Calculations!AG11</f>
        <v>31.082784432570239</v>
      </c>
      <c r="E12">
        <f>Calculations!AO11</f>
        <v>31.612228293755521</v>
      </c>
      <c r="F12">
        <f>Calculations!AW11</f>
        <v>29.450610516219893</v>
      </c>
      <c r="G12">
        <f>Calculations!BE11</f>
        <v>86.868456717730282</v>
      </c>
      <c r="H12">
        <f>Calculations!BM11</f>
        <v>49.085749630382708</v>
      </c>
      <c r="I12">
        <f>Calculations!BU11</f>
        <v>44.703769410046533</v>
      </c>
      <c r="J12">
        <f>Calculations!CC11</f>
        <v>301.69853295277534</v>
      </c>
      <c r="K12">
        <f>Calculations!CK11</f>
        <v>182.52812011483007</v>
      </c>
      <c r="L12">
        <f>Calculations!CS11</f>
        <v>59.880129528565448</v>
      </c>
      <c r="M12">
        <f>Calculations!DA11</f>
        <v>55.164036810619265</v>
      </c>
      <c r="N12">
        <f>Calculations!DI11</f>
        <v>70.971286935231007</v>
      </c>
      <c r="O12">
        <f>Calculations!DQ11</f>
        <v>60.417055113712379</v>
      </c>
      <c r="P12">
        <f>Calculations!DY11</f>
        <v>78.34810181827936</v>
      </c>
      <c r="Q12">
        <f>Calculations!EG11</f>
        <v>79.669134548431927</v>
      </c>
      <c r="R12">
        <f>Calculations!EO11</f>
        <v>83.407646960945868</v>
      </c>
      <c r="S12">
        <f>Calculations!EW11</f>
        <v>70.177636328120215</v>
      </c>
      <c r="T12">
        <f>Calculations!FE11</f>
        <v>62.963649218792298</v>
      </c>
      <c r="U12">
        <f>Calculations!FM11</f>
        <v>32.659062745362306</v>
      </c>
      <c r="W12" s="46">
        <f t="shared" si="0"/>
        <v>1442.5265746141533</v>
      </c>
    </row>
    <row r="13" spans="1:23" ht="19" x14ac:dyDescent="0.25">
      <c r="A13" s="29" t="s">
        <v>29</v>
      </c>
      <c r="B13">
        <f>Calculations!Q12</f>
        <v>4.8061342415858741</v>
      </c>
      <c r="C13">
        <f>Calculations!Y12</f>
        <v>28.108823666214448</v>
      </c>
      <c r="D13">
        <f>Calculations!AG12</f>
        <v>29.99966970471694</v>
      </c>
      <c r="E13">
        <f>Calculations!AO12</f>
        <v>31.74302180516684</v>
      </c>
      <c r="F13">
        <f>Calculations!AW12</f>
        <v>37.621379811368058</v>
      </c>
      <c r="G13">
        <f>Calculations!BE12</f>
        <v>44.241466069456159</v>
      </c>
      <c r="H13">
        <f>Calculations!BM12</f>
        <v>12.668992158982281</v>
      </c>
      <c r="I13">
        <f>Calculations!BU12</f>
        <v>18.659345623766814</v>
      </c>
      <c r="J13">
        <f>Calculations!CC12</f>
        <v>35.31249213183969</v>
      </c>
      <c r="K13">
        <f>Calculations!CK12</f>
        <v>48.65667304630901</v>
      </c>
      <c r="L13">
        <f>Calculations!CS12</f>
        <v>30.951241305534708</v>
      </c>
      <c r="M13">
        <f>Calculations!DA12</f>
        <v>39.843817671830344</v>
      </c>
      <c r="N13">
        <f>Calculations!DI12</f>
        <v>52.253244915355992</v>
      </c>
      <c r="O13">
        <f>Calculations!DQ12</f>
        <v>70.703237161045223</v>
      </c>
      <c r="P13">
        <f>Calculations!DY12</f>
        <v>85.137288202284481</v>
      </c>
      <c r="Q13">
        <f>Calculations!EG12</f>
        <v>78.723639490196803</v>
      </c>
      <c r="R13">
        <f>Calculations!EO12</f>
        <v>68.466113163158909</v>
      </c>
      <c r="S13">
        <f>Calculations!EW12</f>
        <v>66.322222670102121</v>
      </c>
      <c r="T13">
        <f>Calculations!FE12</f>
        <v>62.078313756760117</v>
      </c>
      <c r="U13">
        <f>Calculations!FM12</f>
        <v>35.340802221862958</v>
      </c>
      <c r="W13" s="46">
        <f t="shared" si="0"/>
        <v>881.63791881753775</v>
      </c>
    </row>
    <row r="14" spans="1:23" ht="19" x14ac:dyDescent="0.25">
      <c r="A14" s="29" t="s">
        <v>30</v>
      </c>
      <c r="B14">
        <f>Calculations!Q13</f>
        <v>9.6589562150685779</v>
      </c>
      <c r="C14">
        <f>Calculations!Y13</f>
        <v>25.240735287535916</v>
      </c>
      <c r="D14">
        <f>Calculations!AG13</f>
        <v>23.397505619702962</v>
      </c>
      <c r="E14">
        <f>Calculations!AO13</f>
        <v>34.665205439262039</v>
      </c>
      <c r="F14">
        <f>Calculations!AW13</f>
        <v>33.440644569731788</v>
      </c>
      <c r="G14">
        <f>Calculations!BE13</f>
        <v>37.179666732622117</v>
      </c>
      <c r="H14">
        <f>Calculations!BM13</f>
        <v>17.199825037504702</v>
      </c>
      <c r="I14">
        <f>Calculations!BU13</f>
        <v>14.378488281457354</v>
      </c>
      <c r="J14">
        <f>Calculations!CC13</f>
        <v>29.424527020143408</v>
      </c>
      <c r="K14">
        <f>Calculations!CK13</f>
        <v>41.885617389879599</v>
      </c>
      <c r="L14">
        <f>Calculations!CS13</f>
        <v>28.959194457027536</v>
      </c>
      <c r="M14">
        <f>Calculations!DA13</f>
        <v>34.823037042260843</v>
      </c>
      <c r="N14">
        <f>Calculations!DI13</f>
        <v>53.39773332907388</v>
      </c>
      <c r="O14">
        <f>Calculations!DQ13</f>
        <v>46.702074987998323</v>
      </c>
      <c r="P14">
        <f>Calculations!DY13</f>
        <v>58.799269246843707</v>
      </c>
      <c r="Q14">
        <f>Calculations!EG13</f>
        <v>54.340319102810412</v>
      </c>
      <c r="R14">
        <f>Calculations!EO13</f>
        <v>74.569299637824074</v>
      </c>
      <c r="S14">
        <f>Calculations!EW13</f>
        <v>62.209975044842722</v>
      </c>
      <c r="T14">
        <f>Calculations!FE13</f>
        <v>67.784149632569751</v>
      </c>
      <c r="U14">
        <f>Calculations!FM13</f>
        <v>31.466074467903979</v>
      </c>
      <c r="W14" s="46">
        <f t="shared" si="0"/>
        <v>779.52229854206394</v>
      </c>
    </row>
    <row r="15" spans="1:23" ht="19" x14ac:dyDescent="0.25">
      <c r="A15" s="29" t="s">
        <v>31</v>
      </c>
      <c r="B15">
        <f>Calculations!Q14</f>
        <v>4.8108702274794846</v>
      </c>
      <c r="C15">
        <f>Calculations!Y14</f>
        <v>25.744206653684554</v>
      </c>
      <c r="D15">
        <f>Calculations!AG14</f>
        <v>27.783826597303253</v>
      </c>
      <c r="E15">
        <f>Calculations!AO14</f>
        <v>27.821783387539234</v>
      </c>
      <c r="F15">
        <f>Calculations!AW14</f>
        <v>38.498565850674609</v>
      </c>
      <c r="G15">
        <f>Calculations!BE14</f>
        <v>53.319098346428525</v>
      </c>
      <c r="H15">
        <f>Calculations!BM14</f>
        <v>16.625373788591418</v>
      </c>
      <c r="I15">
        <f>Calculations!BU14</f>
        <v>17.15964940509545</v>
      </c>
      <c r="J15">
        <f>Calculations!CC14</f>
        <v>36.830995057909135</v>
      </c>
      <c r="K15">
        <f>Calculations!CK14</f>
        <v>50.997571525760868</v>
      </c>
      <c r="L15">
        <f>Calculations!CS14</f>
        <v>35.679077254802657</v>
      </c>
      <c r="M15">
        <f>Calculations!DA14</f>
        <v>50.226729842625048</v>
      </c>
      <c r="N15">
        <f>Calculations!DI14</f>
        <v>56.085030817500027</v>
      </c>
      <c r="O15">
        <f>Calculations!DQ14</f>
        <v>68.034600846574364</v>
      </c>
      <c r="P15">
        <f>Calculations!DY14</f>
        <v>61.479246910356977</v>
      </c>
      <c r="Q15">
        <f>Calculations!EG14</f>
        <v>61.725224665970273</v>
      </c>
      <c r="R15">
        <f>Calculations!EO14</f>
        <v>75.807416342005553</v>
      </c>
      <c r="S15">
        <f>Calculations!EW14</f>
        <v>80.778190089011218</v>
      </c>
      <c r="T15">
        <f>Calculations!FE14</f>
        <v>79.912749220909575</v>
      </c>
      <c r="U15">
        <f>Calculations!FM14</f>
        <v>56.229909496803828</v>
      </c>
      <c r="W15" s="46">
        <f t="shared" si="0"/>
        <v>925.55011632702622</v>
      </c>
    </row>
    <row r="16" spans="1:23" ht="19" x14ac:dyDescent="0.25">
      <c r="A16" s="29" t="s">
        <v>32</v>
      </c>
      <c r="B16">
        <f>Calculations!Q15</f>
        <v>1.323170280729139</v>
      </c>
      <c r="C16">
        <f>Calculations!Y15</f>
        <v>28.465672457411344</v>
      </c>
      <c r="D16">
        <f>Calculations!AG15</f>
        <v>27.687021131523096</v>
      </c>
      <c r="E16">
        <f>Calculations!AO15</f>
        <v>36.293912585492528</v>
      </c>
      <c r="F16">
        <f>Calculations!AW15</f>
        <v>29.665450182875283</v>
      </c>
      <c r="G16">
        <f>Calculations!BE15</f>
        <v>64.556014007631944</v>
      </c>
      <c r="H16">
        <f>Calculations!BM15</f>
        <v>21.801803799535936</v>
      </c>
      <c r="I16">
        <f>Calculations!BU15</f>
        <v>18.763946927469259</v>
      </c>
      <c r="J16">
        <f>Calculations!CC15</f>
        <v>52.791811727995032</v>
      </c>
      <c r="K16">
        <f>Calculations!CK15</f>
        <v>82.532703553510586</v>
      </c>
      <c r="L16">
        <f>Calculations!CS15</f>
        <v>18.231840155097228</v>
      </c>
      <c r="M16">
        <f>Calculations!DA15</f>
        <v>144.88433945138229</v>
      </c>
      <c r="N16">
        <f>Calculations!DI15</f>
        <v>160.60222577739836</v>
      </c>
      <c r="O16">
        <f>Calculations!DQ15</f>
        <v>110.61351174702678</v>
      </c>
      <c r="P16">
        <f>Calculations!DY15</f>
        <v>104.82430255979904</v>
      </c>
      <c r="Q16">
        <f>Calculations!EG15</f>
        <v>80.003833670480532</v>
      </c>
      <c r="R16">
        <f>Calculations!EO15</f>
        <v>112.04312760794785</v>
      </c>
      <c r="S16">
        <f>Calculations!EW15</f>
        <v>102.9408895578562</v>
      </c>
      <c r="T16">
        <f>Calculations!FE15</f>
        <v>138.33131718336341</v>
      </c>
      <c r="U16">
        <f>Calculations!FM15</f>
        <v>57.141979701180162</v>
      </c>
      <c r="W16" s="46">
        <f t="shared" si="0"/>
        <v>1393.4988740657061</v>
      </c>
    </row>
    <row r="17" spans="1:23" ht="19" x14ac:dyDescent="0.25">
      <c r="A17" s="29" t="s">
        <v>33</v>
      </c>
      <c r="B17">
        <f>Calculations!Q16</f>
        <v>2.8831250613803769</v>
      </c>
      <c r="C17">
        <f>Calculations!Y16</f>
        <v>34.506933703347642</v>
      </c>
      <c r="D17">
        <f>Calculations!AG16</f>
        <v>39.054723202326457</v>
      </c>
      <c r="E17">
        <f>Calculations!AO16</f>
        <v>34.125799388462177</v>
      </c>
      <c r="F17">
        <f>Calculations!AW16</f>
        <v>36.351420021236017</v>
      </c>
      <c r="G17">
        <f>Calculations!BE16</f>
        <v>53.837616285946481</v>
      </c>
      <c r="H17">
        <f>Calculations!BM16</f>
        <v>16.945034620911017</v>
      </c>
      <c r="I17">
        <f>Calculations!BU16</f>
        <v>20.031007179103984</v>
      </c>
      <c r="J17">
        <f>Calculations!CC16</f>
        <v>44.530616320973095</v>
      </c>
      <c r="K17">
        <f>Calculations!CK16</f>
        <v>90.109926159550739</v>
      </c>
      <c r="L17">
        <f>Calculations!CS16</f>
        <v>73.396508729739736</v>
      </c>
      <c r="M17">
        <f>Calculations!DA16</f>
        <v>175.2454228319753</v>
      </c>
      <c r="N17">
        <f>Calculations!DI16</f>
        <v>215.66820092232115</v>
      </c>
      <c r="O17">
        <f>Calculations!DQ16</f>
        <v>162.54016363284975</v>
      </c>
      <c r="P17">
        <f>Calculations!DY16</f>
        <v>111.38689391609223</v>
      </c>
      <c r="Q17">
        <f>Calculations!EG16</f>
        <v>102.42104381690402</v>
      </c>
      <c r="R17">
        <f>Calculations!EO16</f>
        <v>114.51774973611147</v>
      </c>
      <c r="S17">
        <f>Calculations!EW16</f>
        <v>181.35346828085025</v>
      </c>
      <c r="T17">
        <f>Calculations!FE16</f>
        <v>107.7937331586959</v>
      </c>
      <c r="U17">
        <f>Calculations!FM16</f>
        <v>67.026110294202383</v>
      </c>
      <c r="W17" s="46">
        <f t="shared" si="0"/>
        <v>1683.7254972629803</v>
      </c>
    </row>
    <row r="18" spans="1:23" ht="19" x14ac:dyDescent="0.25">
      <c r="A18" s="29" t="s">
        <v>34</v>
      </c>
      <c r="B18">
        <f>Calculations!Q17</f>
        <v>7.8837756452073071</v>
      </c>
      <c r="C18">
        <f>Calculations!Y17</f>
        <v>35.935779616074953</v>
      </c>
      <c r="D18">
        <f>Calculations!AG17</f>
        <v>30.704600237086034</v>
      </c>
      <c r="E18">
        <f>Calculations!AO17</f>
        <v>37.981935165392045</v>
      </c>
      <c r="F18">
        <f>Calculations!AW17</f>
        <v>30.815500244876368</v>
      </c>
      <c r="G18">
        <f>Calculations!BE17</f>
        <v>66.608844158641844</v>
      </c>
      <c r="H18">
        <f>Calculations!BM17</f>
        <v>22.230265584519394</v>
      </c>
      <c r="I18">
        <f>Calculations!BU17</f>
        <v>22.797106335636684</v>
      </c>
      <c r="J18">
        <f>Calculations!CC17</f>
        <v>43.704900478987511</v>
      </c>
      <c r="K18">
        <f>Calculations!CK17</f>
        <v>70.460856910087855</v>
      </c>
      <c r="L18">
        <f>Calculations!CS17</f>
        <v>50.411458281769605</v>
      </c>
      <c r="M18">
        <f>Calculations!DA17</f>
        <v>99.127760979473521</v>
      </c>
      <c r="N18">
        <f>Calculations!DI17</f>
        <v>85.735822338054277</v>
      </c>
      <c r="O18">
        <f>Calculations!DQ17</f>
        <v>62.775831832996872</v>
      </c>
      <c r="P18">
        <f>Calculations!DY17</f>
        <v>55.79493627925757</v>
      </c>
      <c r="Q18">
        <f>Calculations!EG17</f>
        <v>52.049035439769959</v>
      </c>
      <c r="R18">
        <f>Calculations!EO17</f>
        <v>60.571310465414726</v>
      </c>
      <c r="S18">
        <f>Calculations!EW17</f>
        <v>61.937830005943255</v>
      </c>
      <c r="T18">
        <f>Calculations!FE17</f>
        <v>68.875577766680152</v>
      </c>
      <c r="U18">
        <f>Calculations!FM17</f>
        <v>48.749816944289293</v>
      </c>
      <c r="W18" s="46">
        <f t="shared" si="0"/>
        <v>1015.1529447101592</v>
      </c>
    </row>
    <row r="19" spans="1:23" ht="19" x14ac:dyDescent="0.25">
      <c r="A19" s="29" t="s">
        <v>35</v>
      </c>
      <c r="B19">
        <f>Calculations!Q18</f>
        <v>1.8283835168161633</v>
      </c>
      <c r="C19">
        <f>Calculations!Y18</f>
        <v>16.344363166988192</v>
      </c>
      <c r="D19">
        <f>Calculations!AG18</f>
        <v>10.648292111205423</v>
      </c>
      <c r="E19">
        <f>Calculations!AO18</f>
        <v>10.946280554331793</v>
      </c>
      <c r="F19">
        <f>Calculations!AW18</f>
        <v>10.599230370443205</v>
      </c>
      <c r="G19">
        <f>Calculations!BE18</f>
        <v>17.52495767118571</v>
      </c>
      <c r="H19">
        <f>Calculations!BM18</f>
        <v>13.766013053686473</v>
      </c>
      <c r="I19">
        <f>Calculations!BU18</f>
        <v>14.365684723786607</v>
      </c>
      <c r="J19">
        <f>Calculations!CC18</f>
        <v>15.159651977348503</v>
      </c>
      <c r="K19">
        <f>Calculations!CK18</f>
        <v>17.61085286976747</v>
      </c>
      <c r="L19">
        <f>Calculations!CS18</f>
        <v>17.892884013273381</v>
      </c>
      <c r="M19">
        <f>Calculations!DA18</f>
        <v>19.275412554337681</v>
      </c>
      <c r="N19">
        <f>Calculations!DI18</f>
        <v>19.644115004237364</v>
      </c>
      <c r="O19">
        <f>Calculations!DQ18</f>
        <v>19.586904458887854</v>
      </c>
      <c r="P19">
        <f>Calculations!DY18</f>
        <v>20.043780688411875</v>
      </c>
      <c r="Q19">
        <f>Calculations!EG18</f>
        <v>19.418974480479214</v>
      </c>
      <c r="R19">
        <f>Calculations!EO18</f>
        <v>18.032198002072857</v>
      </c>
      <c r="S19">
        <f>Calculations!EW18</f>
        <v>17.93018464824813</v>
      </c>
      <c r="T19">
        <f>Calculations!FE18</f>
        <v>17.796793392151383</v>
      </c>
      <c r="U19">
        <f>Calculations!FM18</f>
        <v>18.249170236559085</v>
      </c>
      <c r="W19" s="46">
        <f t="shared" si="0"/>
        <v>316.66412749421841</v>
      </c>
    </row>
    <row r="20" spans="1:23" ht="19" x14ac:dyDescent="0.25">
      <c r="A20" s="29" t="s">
        <v>36</v>
      </c>
      <c r="B20">
        <f>Calculations!Q19</f>
        <v>6.8274795838192075</v>
      </c>
      <c r="C20">
        <f>Calculations!Y19</f>
        <v>60.682853912229142</v>
      </c>
      <c r="D20">
        <f>Calculations!AG19</f>
        <v>27.805353984664535</v>
      </c>
      <c r="E20">
        <f>Calculations!AO19</f>
        <v>20.587212347079554</v>
      </c>
      <c r="F20">
        <f>Calculations!AW19</f>
        <v>10.527146972646875</v>
      </c>
      <c r="G20">
        <f>Calculations!BE19</f>
        <v>12.345460113651956</v>
      </c>
      <c r="H20">
        <f>Calculations!BM19</f>
        <v>6.1619827394502735</v>
      </c>
      <c r="I20">
        <f>Calculations!BU19</f>
        <v>6.9996285184191951</v>
      </c>
      <c r="J20">
        <f>Calculations!CC19</f>
        <v>14.634956096161254</v>
      </c>
      <c r="K20">
        <f>Calculations!CK19</f>
        <v>18.967860137412138</v>
      </c>
      <c r="L20">
        <f>Calculations!CS19</f>
        <v>16.011354705219567</v>
      </c>
      <c r="M20">
        <f>Calculations!DA19</f>
        <v>37.363596353829742</v>
      </c>
      <c r="N20">
        <f>Calculations!DI19</f>
        <v>117.59883086552664</v>
      </c>
      <c r="O20">
        <f>Calculations!DQ19</f>
        <v>95.287141773485843</v>
      </c>
      <c r="P20">
        <f>Calculations!DY19</f>
        <v>80.895435252943344</v>
      </c>
      <c r="Q20">
        <f>Calculations!EG19</f>
        <v>83.411068768454967</v>
      </c>
      <c r="R20">
        <f>Calculations!EO19</f>
        <v>141.23719764448919</v>
      </c>
      <c r="S20">
        <f>Calculations!EW19</f>
        <v>148.03275320464633</v>
      </c>
      <c r="T20">
        <f>Calculations!FE19</f>
        <v>89.496126990059267</v>
      </c>
      <c r="U20">
        <f>Calculations!FM19</f>
        <v>35.886675478751307</v>
      </c>
      <c r="W20" s="46">
        <f t="shared" si="0"/>
        <v>1030.7601154429401</v>
      </c>
    </row>
    <row r="21" spans="1:23" ht="19" x14ac:dyDescent="0.25">
      <c r="A21" s="29" t="s">
        <v>37</v>
      </c>
      <c r="B21">
        <f>Calculations!Q20</f>
        <v>8.4339546170749315</v>
      </c>
      <c r="C21">
        <f>Calculations!Y20</f>
        <v>46.958119781553606</v>
      </c>
      <c r="D21">
        <f>Calculations!AG20</f>
        <v>25.524733048864839</v>
      </c>
      <c r="E21">
        <f>Calculations!AO20</f>
        <v>20.495194853991876</v>
      </c>
      <c r="F21">
        <f>Calculations!AW20</f>
        <v>15.947336777516099</v>
      </c>
      <c r="G21">
        <f>Calculations!BE20</f>
        <v>14.20224066742642</v>
      </c>
      <c r="H21">
        <f>Calculations!BM20</f>
        <v>15.562183673891919</v>
      </c>
      <c r="I21">
        <f>Calculations!BU20</f>
        <v>8.7297956842849267</v>
      </c>
      <c r="J21">
        <f>Calculations!CC20</f>
        <v>15.679761117071823</v>
      </c>
      <c r="K21">
        <f>Calculations!CK20</f>
        <v>20.052251133023098</v>
      </c>
      <c r="L21">
        <f>Calculations!CS20</f>
        <v>11.404968308623197</v>
      </c>
      <c r="M21">
        <f>Calculations!DA20</f>
        <v>18.073312234176019</v>
      </c>
      <c r="N21">
        <f>Calculations!DI20</f>
        <v>26.903540235049242</v>
      </c>
      <c r="O21">
        <f>Calculations!DQ20</f>
        <v>107.21920047204264</v>
      </c>
      <c r="P21">
        <f>Calculations!DY20</f>
        <v>119.30157162313378</v>
      </c>
      <c r="Q21">
        <f>Calculations!EG20</f>
        <v>162.79820003814686</v>
      </c>
      <c r="R21">
        <f>Calculations!EO20</f>
        <v>138.2103060342092</v>
      </c>
      <c r="S21">
        <f>Calculations!EW20</f>
        <v>100.11363617389439</v>
      </c>
      <c r="T21">
        <f>Calculations!FE20</f>
        <v>72.562740741405889</v>
      </c>
      <c r="U21">
        <f>Calculations!FM20</f>
        <v>36.738598455726923</v>
      </c>
      <c r="W21" s="46">
        <f t="shared" si="0"/>
        <v>984.91164567110775</v>
      </c>
    </row>
    <row r="22" spans="1:23" ht="19" x14ac:dyDescent="0.25">
      <c r="A22" s="29" t="s">
        <v>38</v>
      </c>
      <c r="B22">
        <f>Calculations!Q21</f>
        <v>10.720381803729392</v>
      </c>
      <c r="C22">
        <f>Calculations!Y21</f>
        <v>61.783688383726158</v>
      </c>
      <c r="D22">
        <f>Calculations!AG21</f>
        <v>22.188268593430969</v>
      </c>
      <c r="E22">
        <f>Calculations!AO21</f>
        <v>20.520086939736476</v>
      </c>
      <c r="F22">
        <f>Calculations!AW21</f>
        <v>13.283410388015941</v>
      </c>
      <c r="G22">
        <f>Calculations!BE21</f>
        <v>16.173664680196318</v>
      </c>
      <c r="H22">
        <f>Calculations!BM21</f>
        <v>7.5204298352337506</v>
      </c>
      <c r="I22">
        <f>Calculations!BU21</f>
        <v>7.9698978850910036</v>
      </c>
      <c r="J22">
        <f>Calculations!CC21</f>
        <v>15.573487408987393</v>
      </c>
      <c r="K22">
        <f>Calculations!CK21</f>
        <v>17.986229996777119</v>
      </c>
      <c r="L22">
        <f>Calculations!CS21</f>
        <v>11.37862354632539</v>
      </c>
      <c r="M22">
        <f>Calculations!DA21</f>
        <v>12.433300581988174</v>
      </c>
      <c r="N22">
        <f>Calculations!DI21</f>
        <v>14.873997439847553</v>
      </c>
      <c r="O22">
        <f>Calculations!DQ21</f>
        <v>13.691673788437221</v>
      </c>
      <c r="P22">
        <f>Calculations!DY21</f>
        <v>17.043688815559854</v>
      </c>
      <c r="Q22">
        <f>Calculations!EG21</f>
        <v>21.478328501565205</v>
      </c>
      <c r="R22">
        <f>Calculations!EO21</f>
        <v>46.616467133742788</v>
      </c>
      <c r="S22">
        <f>Calculations!EW21</f>
        <v>85.618032382064371</v>
      </c>
      <c r="T22">
        <f>Calculations!FE21</f>
        <v>124.06166436140016</v>
      </c>
      <c r="U22">
        <f>Calculations!FM21</f>
        <v>51.289519115879528</v>
      </c>
      <c r="W22" s="46">
        <f t="shared" si="0"/>
        <v>592.20484158173485</v>
      </c>
    </row>
    <row r="23" spans="1:23" ht="19" x14ac:dyDescent="0.25">
      <c r="A23" s="29" t="s">
        <v>39</v>
      </c>
      <c r="B23">
        <f>Calculations!Q22</f>
        <v>11.805498089033707</v>
      </c>
      <c r="C23">
        <f>Calculations!Y22</f>
        <v>61.587304388431775</v>
      </c>
      <c r="D23">
        <f>Calculations!AG22</f>
        <v>30.7614041774969</v>
      </c>
      <c r="E23">
        <f>Calculations!AO22</f>
        <v>21.761962820575082</v>
      </c>
      <c r="F23">
        <f>Calculations!AW22</f>
        <v>16.593652354960259</v>
      </c>
      <c r="G23">
        <f>Calculations!BE22</f>
        <v>17.309318391992463</v>
      </c>
      <c r="H23">
        <f>Calculations!BM22</f>
        <v>8.0543363419314904</v>
      </c>
      <c r="I23">
        <f>Calculations!BU22</f>
        <v>10.646911455002243</v>
      </c>
      <c r="J23">
        <f>Calculations!CC22</f>
        <v>17.605452433876302</v>
      </c>
      <c r="K23">
        <f>Calculations!CK22</f>
        <v>23.175483558144546</v>
      </c>
      <c r="L23">
        <f>Calculations!CS22</f>
        <v>14.211503327526415</v>
      </c>
      <c r="M23">
        <f>Calculations!DA22</f>
        <v>15.700411424810357</v>
      </c>
      <c r="N23">
        <f>Calculations!DI22</f>
        <v>16.739269242597057</v>
      </c>
      <c r="O23">
        <f>Calculations!DQ22</f>
        <v>16.073220234779171</v>
      </c>
      <c r="P23">
        <f>Calculations!DY22</f>
        <v>19.224067389607619</v>
      </c>
      <c r="Q23">
        <f>Calculations!EG22</f>
        <v>27.801404722642257</v>
      </c>
      <c r="R23">
        <f>Calculations!EO22</f>
        <v>64.261537821004993</v>
      </c>
      <c r="S23">
        <f>Calculations!EW22</f>
        <v>80.99828274801898</v>
      </c>
      <c r="T23">
        <f>Calculations!FE22</f>
        <v>121.62365889522296</v>
      </c>
      <c r="U23">
        <f>Calculations!FM22</f>
        <v>48.906018411433479</v>
      </c>
      <c r="W23" s="46">
        <f t="shared" si="0"/>
        <v>644.84069822908805</v>
      </c>
    </row>
    <row r="24" spans="1:23" ht="19" x14ac:dyDescent="0.25">
      <c r="A24" s="29" t="s">
        <v>40</v>
      </c>
      <c r="B24">
        <f>Calculations!Q23</f>
        <v>11.825102762412641</v>
      </c>
      <c r="C24">
        <f>Calculations!Y23</f>
        <v>40.706866261864675</v>
      </c>
      <c r="D24">
        <f>Calculations!AG23</f>
        <v>18.943179997417225</v>
      </c>
      <c r="E24">
        <f>Calculations!AO23</f>
        <v>15.644281704197766</v>
      </c>
      <c r="F24">
        <f>Calculations!AW23</f>
        <v>12.577773429571501</v>
      </c>
      <c r="G24">
        <f>Calculations!BE23</f>
        <v>12.680857197394104</v>
      </c>
      <c r="H24">
        <f>Calculations!BM23</f>
        <v>8.7700391210778257</v>
      </c>
      <c r="I24">
        <f>Calculations!BU23</f>
        <v>10.015782455515922</v>
      </c>
      <c r="J24">
        <f>Calculations!CC23</f>
        <v>13.10033126402109</v>
      </c>
      <c r="K24">
        <f>Calculations!CK23</f>
        <v>16.701003700687071</v>
      </c>
      <c r="L24">
        <f>Calculations!CS23</f>
        <v>24.134196591448095</v>
      </c>
      <c r="M24">
        <f>Calculations!DA23</f>
        <v>24.214190304849517</v>
      </c>
      <c r="N24">
        <f>Calculations!DI23</f>
        <v>22.161027666090376</v>
      </c>
      <c r="O24">
        <f>Calculations!DQ23</f>
        <v>16.388893050843905</v>
      </c>
      <c r="P24">
        <f>Calculations!DY23</f>
        <v>17.350292076959036</v>
      </c>
      <c r="Q24">
        <f>Calculations!EG23</f>
        <v>18.333089007069127</v>
      </c>
      <c r="R24">
        <f>Calculations!EO23</f>
        <v>16.025643102581149</v>
      </c>
      <c r="S24">
        <f>Calculations!EW23</f>
        <v>16.731973556639304</v>
      </c>
      <c r="T24">
        <f>Calculations!FE23</f>
        <v>16.937485632749933</v>
      </c>
      <c r="U24">
        <f>Calculations!FM23</f>
        <v>15.588748991317875</v>
      </c>
      <c r="W24" s="46">
        <f t="shared" si="0"/>
        <v>348.83075787470818</v>
      </c>
    </row>
    <row r="25" spans="1:23" ht="19" x14ac:dyDescent="0.25">
      <c r="A25" s="29" t="s">
        <v>41</v>
      </c>
      <c r="B25">
        <f>Calculations!Q24</f>
        <v>17.240615640891406</v>
      </c>
      <c r="C25">
        <f>Calculations!Y24</f>
        <v>58.954121569729011</v>
      </c>
      <c r="D25">
        <f>Calculations!AG24</f>
        <v>23.782354269061123</v>
      </c>
      <c r="E25">
        <f>Calculations!AO24</f>
        <v>15.547617371147673</v>
      </c>
      <c r="F25">
        <f>Calculations!AW24</f>
        <v>14.238529146462994</v>
      </c>
      <c r="G25">
        <f>Calculations!BE24</f>
        <v>14.612653657963836</v>
      </c>
      <c r="H25">
        <f>Calculations!BM24</f>
        <v>9.3933737438638758</v>
      </c>
      <c r="I25">
        <f>Calculations!BU24</f>
        <v>12.332669148555132</v>
      </c>
      <c r="J25">
        <f>Calculations!CC24</f>
        <v>18.111085431236244</v>
      </c>
      <c r="K25">
        <f>Calculations!CK24</f>
        <v>30.785499261783436</v>
      </c>
      <c r="L25">
        <f>Calculations!CS24</f>
        <v>40.769235219166241</v>
      </c>
      <c r="M25">
        <f>Calculations!DA24</f>
        <v>44.375560585264665</v>
      </c>
      <c r="N25">
        <f>Calculations!DI24</f>
        <v>27.22492162326196</v>
      </c>
      <c r="O25">
        <f>Calculations!DQ24</f>
        <v>24.68718325516258</v>
      </c>
      <c r="P25">
        <f>Calculations!DY24</f>
        <v>22.633605233372847</v>
      </c>
      <c r="Q25">
        <f>Calculations!EG24</f>
        <v>21.634230911328704</v>
      </c>
      <c r="R25">
        <f>Calculations!EO24</f>
        <v>26.43426136148727</v>
      </c>
      <c r="S25">
        <f>Calculations!EW24</f>
        <v>24.07728136760408</v>
      </c>
      <c r="T25">
        <f>Calculations!FE24</f>
        <v>23.022782003371972</v>
      </c>
      <c r="U25">
        <f>Calculations!FM24</f>
        <v>20.342746010126653</v>
      </c>
      <c r="W25" s="46">
        <f t="shared" si="0"/>
        <v>490.20032681084166</v>
      </c>
    </row>
    <row r="26" spans="1:23" ht="19" x14ac:dyDescent="0.25">
      <c r="A26" s="29" t="s">
        <v>42</v>
      </c>
      <c r="B26">
        <f>Calculations!Q25</f>
        <v>12.622531755016617</v>
      </c>
      <c r="C26">
        <f>Calculations!Y25</f>
        <v>45.148475040212759</v>
      </c>
      <c r="D26">
        <f>Calculations!AG25</f>
        <v>19.887014738460785</v>
      </c>
      <c r="E26">
        <f>Calculations!AO25</f>
        <v>15.28565328817119</v>
      </c>
      <c r="F26">
        <f>Calculations!AW25</f>
        <v>12.806232226353711</v>
      </c>
      <c r="G26">
        <f>Calculations!BE25</f>
        <v>12.971001543804785</v>
      </c>
      <c r="H26">
        <f>Calculations!BM25</f>
        <v>9.669567898606692</v>
      </c>
      <c r="I26">
        <f>Calculations!BU25</f>
        <v>10.749749041475088</v>
      </c>
      <c r="J26">
        <f>Calculations!CC25</f>
        <v>13.057176350027053</v>
      </c>
      <c r="K26">
        <f>Calculations!CK25</f>
        <v>17.285281777690226</v>
      </c>
      <c r="L26">
        <f>Calculations!CS25</f>
        <v>21.205381016051021</v>
      </c>
      <c r="M26">
        <f>Calculations!DA25</f>
        <v>20.130963818004211</v>
      </c>
      <c r="N26">
        <f>Calculations!DI25</f>
        <v>14.803866667020799</v>
      </c>
      <c r="O26">
        <f>Calculations!DQ25</f>
        <v>15.054923696917223</v>
      </c>
      <c r="P26">
        <f>Calculations!DY25</f>
        <v>14.38053044491169</v>
      </c>
      <c r="Q26">
        <f>Calculations!EG25</f>
        <v>15.365893454065425</v>
      </c>
      <c r="R26">
        <f>Calculations!EO25</f>
        <v>13.361249420723585</v>
      </c>
      <c r="S26">
        <f>Calculations!EW25</f>
        <v>13.155514491065322</v>
      </c>
      <c r="T26">
        <f>Calculations!FE25</f>
        <v>13.491911931788252</v>
      </c>
      <c r="U26">
        <f>Calculations!FM25</f>
        <v>13.842595244098071</v>
      </c>
      <c r="W26" s="46">
        <f t="shared" si="0"/>
        <v>324.27551384446451</v>
      </c>
    </row>
    <row r="27" spans="1:23" ht="19" x14ac:dyDescent="0.25">
      <c r="A27" s="29" t="s">
        <v>43</v>
      </c>
      <c r="B27">
        <f>Calculations!Q26</f>
        <v>33.501102686487954</v>
      </c>
      <c r="C27">
        <f>Calculations!Y26</f>
        <v>65.08469949131441</v>
      </c>
      <c r="D27">
        <f>Calculations!AG26</f>
        <v>21.80562412093564</v>
      </c>
      <c r="E27">
        <f>Calculations!AO26</f>
        <v>15.584921441480887</v>
      </c>
      <c r="F27">
        <f>Calculations!AW26</f>
        <v>11.154360583189009</v>
      </c>
      <c r="G27">
        <f>Calculations!BE26</f>
        <v>10.522004604299466</v>
      </c>
      <c r="H27">
        <f>Calculations!BM26</f>
        <v>4.3759674418994861</v>
      </c>
      <c r="I27">
        <f>Calculations!BU26</f>
        <v>6.2686082798408647</v>
      </c>
      <c r="J27">
        <f>Calculations!CC26</f>
        <v>9.698812993097718</v>
      </c>
      <c r="K27">
        <f>Calculations!CK26</f>
        <v>34.566824926886163</v>
      </c>
      <c r="L27">
        <f>Calculations!CS26</f>
        <v>43.114039240953296</v>
      </c>
      <c r="M27">
        <f>Calculations!DA26</f>
        <v>65.397769476917503</v>
      </c>
      <c r="N27">
        <f>Calculations!DI26</f>
        <v>63.282653018869404</v>
      </c>
      <c r="O27">
        <f>Calculations!DQ26</f>
        <v>43.386199965445272</v>
      </c>
      <c r="P27">
        <f>Calculations!DY26</f>
        <v>36.773225073266453</v>
      </c>
      <c r="Q27">
        <f>Calculations!EG26</f>
        <v>36.586370531682562</v>
      </c>
      <c r="R27">
        <f>Calculations!EO26</f>
        <v>47.587597571656268</v>
      </c>
      <c r="S27">
        <f>Calculations!EW26</f>
        <v>43.167022485828326</v>
      </c>
      <c r="T27">
        <f>Calculations!FE26</f>
        <v>43.621391076715149</v>
      </c>
      <c r="U27">
        <f>Calculations!FM26</f>
        <v>19.388222289917067</v>
      </c>
      <c r="W27" s="46">
        <f t="shared" si="0"/>
        <v>654.86741730068286</v>
      </c>
    </row>
    <row r="29" spans="1:23" ht="19" x14ac:dyDescent="0.25">
      <c r="A29" s="29"/>
    </row>
    <row r="30" spans="1:23" ht="19" x14ac:dyDescent="0.25">
      <c r="A30" s="29"/>
    </row>
    <row r="31" spans="1:23" ht="19" x14ac:dyDescent="0.25">
      <c r="A31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7D32-BB14-2146-AF60-B9B3E2DCDB15}">
  <dimension ref="A1:D19"/>
  <sheetViews>
    <sheetView workbookViewId="0">
      <selection activeCell="D13" sqref="D13"/>
    </sheetView>
  </sheetViews>
  <sheetFormatPr baseColWidth="10" defaultRowHeight="16" x14ac:dyDescent="0.2"/>
  <cols>
    <col min="1" max="2" width="14.83203125" customWidth="1"/>
    <col min="3" max="3" width="19.1640625" customWidth="1"/>
  </cols>
  <sheetData>
    <row r="1" spans="1:4" x14ac:dyDescent="0.2">
      <c r="A1" t="s">
        <v>86</v>
      </c>
      <c r="B1" t="s">
        <v>88</v>
      </c>
      <c r="C1" t="s">
        <v>9</v>
      </c>
      <c r="D1" t="s">
        <v>89</v>
      </c>
    </row>
    <row r="2" spans="1:4" x14ac:dyDescent="0.2">
      <c r="A2" t="s">
        <v>87</v>
      </c>
      <c r="B2" t="s">
        <v>66</v>
      </c>
      <c r="C2">
        <v>0</v>
      </c>
      <c r="D2">
        <f>AVERAGE(Cumulative_rate_figures!$B$3:$B$6)</f>
        <v>1.5334837654908866</v>
      </c>
    </row>
    <row r="3" spans="1:4" x14ac:dyDescent="0.2">
      <c r="A3" t="s">
        <v>87</v>
      </c>
      <c r="B3" t="s">
        <v>67</v>
      </c>
      <c r="C3">
        <v>0</v>
      </c>
      <c r="D3">
        <f>AVERAGE(Cumulative_rate_figures!$B$7:$B$10)</f>
        <v>1.8441214662796996</v>
      </c>
    </row>
    <row r="4" spans="1:4" x14ac:dyDescent="0.2">
      <c r="A4" t="s">
        <v>92</v>
      </c>
      <c r="B4" t="s">
        <v>94</v>
      </c>
      <c r="C4">
        <v>0</v>
      </c>
      <c r="D4">
        <f>AVERAGE(Cumulative_rate_figures!B11:B14)</f>
        <v>5.8893010047614629</v>
      </c>
    </row>
    <row r="5" spans="1:4" x14ac:dyDescent="0.2">
      <c r="A5" t="s">
        <v>92</v>
      </c>
      <c r="B5" t="s">
        <v>95</v>
      </c>
      <c r="C5">
        <v>0</v>
      </c>
      <c r="D5">
        <f>AVERAGE(Cumulative_rate_figures!B15:B18)</f>
        <v>3.4796136260332466</v>
      </c>
    </row>
    <row r="6" spans="1:4" x14ac:dyDescent="0.2">
      <c r="A6" t="s">
        <v>93</v>
      </c>
      <c r="B6" t="s">
        <v>70</v>
      </c>
      <c r="C6">
        <v>0</v>
      </c>
      <c r="D6">
        <f>AVERAGE(Cumulative_rate_figures!B19:B22)</f>
        <v>9.4468285234143092</v>
      </c>
    </row>
    <row r="7" spans="1:4" x14ac:dyDescent="0.2">
      <c r="A7" t="s">
        <v>93</v>
      </c>
      <c r="B7" t="s">
        <v>96</v>
      </c>
      <c r="C7">
        <v>0</v>
      </c>
      <c r="D7">
        <f>AVERAGE(Cumulative_rate_figures!B23:B26)</f>
        <v>18.797338211202153</v>
      </c>
    </row>
    <row r="8" spans="1:4" x14ac:dyDescent="0.2">
      <c r="A8" t="s">
        <v>87</v>
      </c>
      <c r="B8" t="s">
        <v>66</v>
      </c>
      <c r="C8">
        <v>1</v>
      </c>
      <c r="D8">
        <f>AVERAGE(Cumulative_rate_figures!C3:C6)</f>
        <v>14.890416047726051</v>
      </c>
    </row>
    <row r="9" spans="1:4" x14ac:dyDescent="0.2">
      <c r="A9" t="s">
        <v>87</v>
      </c>
      <c r="B9" t="s">
        <v>67</v>
      </c>
      <c r="C9">
        <v>1</v>
      </c>
      <c r="D9">
        <f>AVERAGE(Cumulative_rate_figures!C7:C10)</f>
        <v>8.8921617099581489</v>
      </c>
    </row>
    <row r="10" spans="1:4" x14ac:dyDescent="0.2">
      <c r="A10" t="s">
        <v>92</v>
      </c>
      <c r="B10" t="s">
        <v>94</v>
      </c>
      <c r="C10">
        <v>1</v>
      </c>
      <c r="D10">
        <f>AVERAGE(Cumulative_rate_figures!C11:C14)</f>
        <v>32.552077207337973</v>
      </c>
    </row>
    <row r="11" spans="1:4" x14ac:dyDescent="0.2">
      <c r="A11" t="s">
        <v>92</v>
      </c>
      <c r="B11" t="s">
        <v>95</v>
      </c>
      <c r="C11">
        <v>1</v>
      </c>
      <c r="D11">
        <f>AVERAGE(Cumulative_rate_figures!C15:C18)</f>
        <v>32.292800861988781</v>
      </c>
    </row>
    <row r="12" spans="1:4" x14ac:dyDescent="0.2">
      <c r="A12" t="s">
        <v>93</v>
      </c>
      <c r="B12" t="s">
        <v>70</v>
      </c>
      <c r="C12">
        <v>1</v>
      </c>
      <c r="D12">
        <f>AVERAGE(Cumulative_rate_figures!C19:C22)</f>
        <v>67.199820139899472</v>
      </c>
    </row>
    <row r="13" spans="1:4" x14ac:dyDescent="0.2">
      <c r="A13" t="s">
        <v>93</v>
      </c>
      <c r="B13" t="s">
        <v>96</v>
      </c>
      <c r="C13">
        <v>1</v>
      </c>
      <c r="D13">
        <f>AVERAGE(Cumulative_rate_figures!C23:C26)</f>
        <v>71.270878801982363</v>
      </c>
    </row>
    <row r="14" spans="1:4" x14ac:dyDescent="0.2">
      <c r="A14" s="17" t="s">
        <v>87</v>
      </c>
      <c r="B14" s="17" t="s">
        <v>66</v>
      </c>
      <c r="C14">
        <v>2</v>
      </c>
    </row>
    <row r="15" spans="1:4" x14ac:dyDescent="0.2">
      <c r="A15" s="17" t="s">
        <v>87</v>
      </c>
      <c r="B15" s="17" t="s">
        <v>67</v>
      </c>
      <c r="C15">
        <v>2</v>
      </c>
    </row>
    <row r="16" spans="1:4" x14ac:dyDescent="0.2">
      <c r="A16" s="17" t="s">
        <v>92</v>
      </c>
      <c r="B16" s="17" t="s">
        <v>94</v>
      </c>
      <c r="C16">
        <v>2</v>
      </c>
    </row>
    <row r="17" spans="1:3" x14ac:dyDescent="0.2">
      <c r="A17" s="17" t="s">
        <v>92</v>
      </c>
      <c r="B17" s="17" t="s">
        <v>95</v>
      </c>
      <c r="C17">
        <v>2</v>
      </c>
    </row>
    <row r="18" spans="1:3" x14ac:dyDescent="0.2">
      <c r="A18" s="17" t="s">
        <v>93</v>
      </c>
      <c r="B18" s="17" t="s">
        <v>70</v>
      </c>
      <c r="C18">
        <v>2</v>
      </c>
    </row>
    <row r="19" spans="1:3" x14ac:dyDescent="0.2">
      <c r="A19" s="17" t="s">
        <v>93</v>
      </c>
      <c r="B19" s="17" t="s">
        <v>96</v>
      </c>
      <c r="C19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E0FB-BDDB-984D-BC44-764E53ED9A11}">
  <dimension ref="A1:U28"/>
  <sheetViews>
    <sheetView zoomScale="113" workbookViewId="0">
      <selection activeCell="B3" sqref="B3"/>
    </sheetView>
  </sheetViews>
  <sheetFormatPr baseColWidth="10" defaultRowHeight="16" x14ac:dyDescent="0.2"/>
  <sheetData>
    <row r="1" spans="1:21" x14ac:dyDescent="0.2">
      <c r="A1" t="s">
        <v>9</v>
      </c>
      <c r="B1">
        <v>0</v>
      </c>
      <c r="C1">
        <v>1</v>
      </c>
      <c r="D1">
        <v>2</v>
      </c>
      <c r="E1">
        <v>4</v>
      </c>
      <c r="F1">
        <v>6</v>
      </c>
      <c r="G1">
        <v>9</v>
      </c>
      <c r="H1">
        <v>12</v>
      </c>
      <c r="I1">
        <v>14</v>
      </c>
      <c r="J1">
        <v>19</v>
      </c>
      <c r="K1">
        <v>26</v>
      </c>
      <c r="L1">
        <v>30</v>
      </c>
      <c r="M1">
        <v>36</v>
      </c>
      <c r="N1">
        <v>44</v>
      </c>
      <c r="O1">
        <v>51</v>
      </c>
      <c r="P1">
        <v>58</v>
      </c>
      <c r="Q1">
        <v>65</v>
      </c>
      <c r="R1">
        <v>74</v>
      </c>
      <c r="S1">
        <v>83</v>
      </c>
      <c r="T1">
        <v>92</v>
      </c>
      <c r="U1">
        <v>96</v>
      </c>
    </row>
    <row r="2" spans="1:21" x14ac:dyDescent="0.2">
      <c r="A2" t="s">
        <v>0</v>
      </c>
    </row>
    <row r="3" spans="1:21" ht="19" x14ac:dyDescent="0.25">
      <c r="A3" s="29" t="s">
        <v>20</v>
      </c>
      <c r="B3">
        <f>Calculations!Q3</f>
        <v>0.81424939302971677</v>
      </c>
      <c r="C3">
        <f>Calculations!Y3 +B3</f>
        <v>11.953127442070754</v>
      </c>
      <c r="D3">
        <f>Calculations!AG3 +C3</f>
        <v>18.533182288837068</v>
      </c>
      <c r="E3">
        <f>Calculations!AO3 +D3</f>
        <v>21.623154264531003</v>
      </c>
      <c r="F3">
        <f>Calculations!AW3+E3</f>
        <v>24.062642003729565</v>
      </c>
      <c r="G3">
        <f>Calculations!BE3+F3</f>
        <v>27.63017898814708</v>
      </c>
      <c r="H3">
        <f>Calculations!BM3+G3</f>
        <v>29.369264148393139</v>
      </c>
      <c r="I3">
        <f>Calculations!BU3+H3</f>
        <v>31.776788915506842</v>
      </c>
      <c r="J3">
        <f>Calculations!CC3+I3</f>
        <v>37.29362644316781</v>
      </c>
      <c r="K3">
        <f>Calculations!CK3+J3</f>
        <v>55.431983086766955</v>
      </c>
      <c r="L3">
        <f>Calculations!CS3+K3</f>
        <v>80.620053519557644</v>
      </c>
      <c r="M3">
        <f>Calculations!DA3+L3</f>
        <v>100.75604274610858</v>
      </c>
      <c r="N3">
        <f>Calculations!DI3+M3</f>
        <v>121.52138511079849</v>
      </c>
      <c r="O3">
        <f>Calculations!DQ3+N3</f>
        <v>132.12417833839876</v>
      </c>
      <c r="P3">
        <f>Calculations!DY3+O3</f>
        <v>139.35733304003062</v>
      </c>
      <c r="Q3">
        <f>Calculations!EG3+P3</f>
        <v>145.52645118587122</v>
      </c>
      <c r="R3">
        <f>Calculations!EO3+Q3</f>
        <v>153.95392552568771</v>
      </c>
      <c r="S3">
        <f>Calculations!EW3+R3</f>
        <v>161.22080630713177</v>
      </c>
      <c r="T3">
        <f>Calculations!FE3+S3</f>
        <v>167.60684999828942</v>
      </c>
      <c r="U3">
        <f>Calculations!FM3+T3</f>
        <v>171.89008369650165</v>
      </c>
    </row>
    <row r="4" spans="1:21" ht="19" x14ac:dyDescent="0.25">
      <c r="A4" s="29" t="s">
        <v>21</v>
      </c>
      <c r="B4">
        <f>Calculations!Q4</f>
        <v>1.4983310826920311</v>
      </c>
      <c r="C4">
        <f>Calculations!Y4 +B4</f>
        <v>18.736908744924214</v>
      </c>
      <c r="D4">
        <f>Calculations!AG4 +C4</f>
        <v>27.219058513719478</v>
      </c>
      <c r="E4">
        <f>Calculations!AO4+D4</f>
        <v>32.403818736903318</v>
      </c>
      <c r="F4">
        <f>Calculations!AW4+E4</f>
        <v>36.600759335404604</v>
      </c>
      <c r="G4">
        <f>Calculations!BE4 +F4</f>
        <v>40.61979166602255</v>
      </c>
      <c r="H4">
        <f>Calculations!BM4+G4</f>
        <v>42.797540441541841</v>
      </c>
      <c r="I4">
        <f>Calculations!BU4+H4</f>
        <v>45.735302356133239</v>
      </c>
      <c r="J4">
        <f>Calculations!CC4+I4</f>
        <v>50.937534202707958</v>
      </c>
      <c r="K4">
        <f>Calculations!CK4+J4</f>
        <v>73.435509049680718</v>
      </c>
      <c r="L4">
        <f>Calculations!CS4+K4</f>
        <v>98.310654867900197</v>
      </c>
      <c r="M4">
        <f>Calculations!DA4+L4</f>
        <v>122.1880999472007</v>
      </c>
      <c r="N4">
        <f>Calculations!DI4+M4</f>
        <v>139.0782706762385</v>
      </c>
      <c r="O4">
        <f>Calculations!DQ4+N4</f>
        <v>150.9724308463085</v>
      </c>
      <c r="P4">
        <f>Calculations!DY4+O4</f>
        <v>160.76745144238851</v>
      </c>
      <c r="Q4">
        <f>Calculations!EG4+P4</f>
        <v>170.91154060385156</v>
      </c>
      <c r="R4">
        <f>Calculations!EO4+Q4</f>
        <v>179.88509030832216</v>
      </c>
      <c r="S4">
        <f>Calculations!EW4+R4</f>
        <v>189.7430223323945</v>
      </c>
      <c r="T4">
        <f>Calculations!FE4+S4</f>
        <v>199.66214822297496</v>
      </c>
      <c r="U4">
        <f>Calculations!FM4+T4</f>
        <v>205.07744198612698</v>
      </c>
    </row>
    <row r="5" spans="1:21" ht="19" x14ac:dyDescent="0.25">
      <c r="A5" s="29" t="s">
        <v>22</v>
      </c>
      <c r="B5">
        <f>Calculations!Q5</f>
        <v>2.0061916502021764</v>
      </c>
      <c r="C5">
        <f>Calculations!Y5+B5</f>
        <v>19.05197441216945</v>
      </c>
      <c r="D5">
        <f>Calculations!AG5+C5</f>
        <v>27.087503917666005</v>
      </c>
      <c r="E5">
        <f>Calculations!AO5+D5</f>
        <v>33.381436509116718</v>
      </c>
      <c r="F5">
        <f>Calculations!AW5+E5</f>
        <v>37.400990306631734</v>
      </c>
      <c r="G5">
        <f>Calculations!BE5+F5</f>
        <v>43.173138544354146</v>
      </c>
      <c r="H5">
        <f>Calculations!BM5+G5</f>
        <v>45.997206037278339</v>
      </c>
      <c r="I5">
        <f>Calculations!BU5+H5</f>
        <v>49.461299444677039</v>
      </c>
      <c r="J5">
        <f>Calculations!CC5+I5</f>
        <v>56.416304424461096</v>
      </c>
      <c r="K5">
        <f>Calculations!CK5+J5</f>
        <v>83.194205481951855</v>
      </c>
      <c r="L5">
        <f>Calculations!CS5+K5</f>
        <v>106.78765366449876</v>
      </c>
      <c r="M5">
        <f>Calculations!DA5+L5</f>
        <v>125.15648252223511</v>
      </c>
      <c r="N5">
        <f>Calculations!DI5+M5</f>
        <v>140.8859588188887</v>
      </c>
      <c r="O5">
        <f>Calculations!DQ5+N5</f>
        <v>151.77119299979225</v>
      </c>
      <c r="P5">
        <f>Calculations!DY5+O5</f>
        <v>160.85833136223309</v>
      </c>
      <c r="Q5">
        <f>Calculations!EG5+P5</f>
        <v>168.83451222603588</v>
      </c>
      <c r="R5">
        <f>Calculations!EO5+Q5</f>
        <v>178.46337065878615</v>
      </c>
      <c r="S5">
        <f>Calculations!EW5+R5</f>
        <v>188.77042259084988</v>
      </c>
      <c r="T5">
        <f>Calculations!FE5+S5</f>
        <v>208.07905906952251</v>
      </c>
      <c r="U5">
        <f>Calculations!FM5+T5</f>
        <v>214.40163444150238</v>
      </c>
    </row>
    <row r="6" spans="1:21" ht="19" x14ac:dyDescent="0.25">
      <c r="A6" s="29" t="s">
        <v>23</v>
      </c>
      <c r="B6">
        <f>Calculations!Q6</f>
        <v>1.8151629360396218</v>
      </c>
      <c r="C6">
        <f>Calculations!Y6+B6</f>
        <v>9.8196535917397849</v>
      </c>
      <c r="D6">
        <f>Calculations!AG6+C6</f>
        <v>14.729369901487939</v>
      </c>
      <c r="E6">
        <f>Calculations!AO6+D6</f>
        <v>17.556306846184317</v>
      </c>
      <c r="F6">
        <f>Calculations!AW6+E6</f>
        <v>19.728641031663816</v>
      </c>
      <c r="G6">
        <f>Calculations!BE6+F6</f>
        <v>22.01938960742563</v>
      </c>
      <c r="H6">
        <f>Calculations!BM6+G6</f>
        <v>22.886696405188669</v>
      </c>
      <c r="I6">
        <f>Calculations!BU6+H6</f>
        <v>24.601558926603342</v>
      </c>
      <c r="J6">
        <f>Calculations!CC6+I6</f>
        <v>28.53885754683871</v>
      </c>
      <c r="K6">
        <f>Calculations!CK6+J6</f>
        <v>43.855544477456284</v>
      </c>
      <c r="L6">
        <f>Calculations!CS6+K6</f>
        <v>57.368936944414628</v>
      </c>
      <c r="M6">
        <f>Calculations!DA6+L6</f>
        <v>69.895480785836014</v>
      </c>
      <c r="N6">
        <f>Calculations!DI6+M6</f>
        <v>81.657526886582957</v>
      </c>
      <c r="O6">
        <f>Calculations!DQ6+N6</f>
        <v>91.726456220077452</v>
      </c>
      <c r="P6">
        <f>Calculations!DY6+O6</f>
        <v>97.618152078356488</v>
      </c>
      <c r="Q6">
        <f>Calculations!EG6+P6</f>
        <v>103.00265378278098</v>
      </c>
      <c r="R6">
        <f>Calculations!EO6+Q6</f>
        <v>109.61908623598089</v>
      </c>
      <c r="S6">
        <f>Calculations!EW6+R6</f>
        <v>115.65545080077698</v>
      </c>
      <c r="T6">
        <f>Calculations!FE6+S6</f>
        <v>121.10744899148277</v>
      </c>
      <c r="U6">
        <f>Calculations!FM6+T6</f>
        <v>124.88990489901849</v>
      </c>
    </row>
    <row r="7" spans="1:21" ht="19" x14ac:dyDescent="0.25">
      <c r="A7" s="29" t="s">
        <v>24</v>
      </c>
      <c r="B7">
        <f>Calculations!Q7</f>
        <v>1.373892636434062</v>
      </c>
      <c r="C7">
        <f>Calculations!Y7+B7</f>
        <v>7.3453950926347353</v>
      </c>
      <c r="D7">
        <f>Calculations!AG7+C7</f>
        <v>10.387421480730477</v>
      </c>
      <c r="E7">
        <f>Calculations!AO7+D7</f>
        <v>12.300603151574943</v>
      </c>
      <c r="F7">
        <f>Calculations!AW7+E7</f>
        <v>13.542333314130005</v>
      </c>
      <c r="G7">
        <f>Calculations!BE7+F7</f>
        <v>15.158740172040822</v>
      </c>
      <c r="H7">
        <f>Calculations!BM7+G7</f>
        <v>16.123946764865718</v>
      </c>
      <c r="I7">
        <f>Calculations!BU7+H7</f>
        <v>17.20772150241698</v>
      </c>
      <c r="J7">
        <f>Calculations!CC7+I7</f>
        <v>20.923896925800392</v>
      </c>
      <c r="K7">
        <f>Calculations!CK7+J7</f>
        <v>32.240486095106874</v>
      </c>
      <c r="L7">
        <f>Calculations!CS7+K7</f>
        <v>43.014496497826372</v>
      </c>
      <c r="M7">
        <f>Calculations!DA7+L7</f>
        <v>61.810283768156275</v>
      </c>
      <c r="N7">
        <f>Calculations!DI7+M7</f>
        <v>86.27383417182881</v>
      </c>
      <c r="O7">
        <f>Calculations!DQ7+N7</f>
        <v>98.371698534918096</v>
      </c>
      <c r="P7">
        <f>Calculations!DY7+O7</f>
        <v>108.71757003676447</v>
      </c>
      <c r="Q7">
        <f>Calculations!EG7+P7</f>
        <v>114.55129714147829</v>
      </c>
      <c r="R7">
        <f>Calculations!EO7+Q7</f>
        <v>121.39472761130897</v>
      </c>
      <c r="S7">
        <f>Calculations!EW7+R7</f>
        <v>128.18987918498107</v>
      </c>
      <c r="T7">
        <f>Calculations!FE7+S7</f>
        <v>135.77853637468269</v>
      </c>
      <c r="U7">
        <f>Calculations!FM7+T7</f>
        <v>139.74007980789909</v>
      </c>
    </row>
    <row r="8" spans="1:21" ht="19" x14ac:dyDescent="0.25">
      <c r="A8" s="29" t="s">
        <v>25</v>
      </c>
      <c r="B8">
        <f>Calculations!Q8</f>
        <v>1.8643191440823859</v>
      </c>
      <c r="C8">
        <f>Calculations!Y8+B8</f>
        <v>8.8359758622797795</v>
      </c>
      <c r="D8">
        <f>Calculations!AG8+C8</f>
        <v>13.026298404680263</v>
      </c>
      <c r="E8">
        <f>Calculations!AO8+D8</f>
        <v>15.53486734662677</v>
      </c>
      <c r="F8">
        <f>Calculations!AW8+E8</f>
        <v>17.580492095504049</v>
      </c>
      <c r="G8">
        <f>Calculations!BE8+F8</f>
        <v>19.2658369246452</v>
      </c>
      <c r="H8">
        <f>Calculations!BM8+G8</f>
        <v>20.38356402759813</v>
      </c>
      <c r="I8">
        <f>Calculations!BU8+H8</f>
        <v>21.465946200412898</v>
      </c>
      <c r="J8">
        <f>Calculations!CC8+I8</f>
        <v>23.56857960389295</v>
      </c>
      <c r="K8">
        <f>Calculations!CK8+J8</f>
        <v>29.05600203565244</v>
      </c>
      <c r="L8">
        <f>Calculations!CS8+K8</f>
        <v>36.946170822911746</v>
      </c>
      <c r="M8">
        <f>Calculations!DA8+L8</f>
        <v>53.275293004290077</v>
      </c>
      <c r="N8">
        <f>Calculations!DI8+M8</f>
        <v>72.747558345824302</v>
      </c>
      <c r="O8">
        <f>Calculations!DQ8+N8</f>
        <v>85.216315887964342</v>
      </c>
      <c r="P8">
        <f>Calculations!DY8+O8</f>
        <v>92.507988761244292</v>
      </c>
      <c r="Q8">
        <f>Calculations!EG8+P8</f>
        <v>98.834509781393578</v>
      </c>
      <c r="R8">
        <f>Calculations!EO8+Q8</f>
        <v>105.09839109979612</v>
      </c>
      <c r="S8">
        <f>Calculations!EW8+R8</f>
        <v>111.96006383202077</v>
      </c>
      <c r="T8">
        <f>Calculations!FE8+S8</f>
        <v>118.19539219909781</v>
      </c>
      <c r="U8">
        <f>Calculations!FM8+T8</f>
        <v>121.39185758874287</v>
      </c>
    </row>
    <row r="9" spans="1:21" ht="19" x14ac:dyDescent="0.25">
      <c r="A9" s="29" t="s">
        <v>26</v>
      </c>
      <c r="B9">
        <f>Calculations!Q9</f>
        <v>1.8095200960047704</v>
      </c>
      <c r="C9">
        <f>Calculations!Y9+B9</f>
        <v>8.0949809612075114</v>
      </c>
      <c r="D9">
        <f>Calculations!AG9+C9</f>
        <v>11.970757952784744</v>
      </c>
      <c r="E9">
        <f>Calculations!AO9+D9</f>
        <v>14.825476391452558</v>
      </c>
      <c r="F9">
        <f>Calculations!AW9+E9</f>
        <v>16.329097679656368</v>
      </c>
      <c r="G9">
        <f>Calculations!BE9+F9</f>
        <v>17.995182385685567</v>
      </c>
      <c r="H9">
        <f>Calculations!BM9+G9</f>
        <v>19.087318736102468</v>
      </c>
      <c r="I9">
        <f>Calculations!BU9+H9</f>
        <v>20.230119996327161</v>
      </c>
      <c r="J9">
        <f>Calculations!CC9+I9</f>
        <v>23.466127119596962</v>
      </c>
      <c r="K9">
        <f>Calculations!CK9+J9</f>
        <v>32.635039748993314</v>
      </c>
      <c r="L9">
        <f>Calculations!CS9+K9</f>
        <v>42.65415936527333</v>
      </c>
      <c r="M9">
        <f>Calculations!DA9+L9</f>
        <v>59.917633542895601</v>
      </c>
      <c r="N9">
        <f>Calculations!DI9+M9</f>
        <v>76.1224365545701</v>
      </c>
      <c r="O9">
        <f>Calculations!DQ9+N9</f>
        <v>84.966503338724067</v>
      </c>
      <c r="P9">
        <f>Calculations!DY9+O9</f>
        <v>90.833090464857634</v>
      </c>
      <c r="Q9">
        <f>Calculations!EG9+P9</f>
        <v>94.800246600543048</v>
      </c>
      <c r="R9">
        <f>Calculations!EO9+Q9</f>
        <v>99.250758859777918</v>
      </c>
      <c r="S9">
        <f>Calculations!EW9+R9</f>
        <v>103.72721880778624</v>
      </c>
      <c r="T9">
        <f>Calculations!FE9+S9</f>
        <v>108.53920303824835</v>
      </c>
      <c r="U9">
        <f>Calculations!FM9+T9</f>
        <v>110.6892515413398</v>
      </c>
    </row>
    <row r="10" spans="1:21" ht="19" x14ac:dyDescent="0.25">
      <c r="A10" s="29" t="s">
        <v>27</v>
      </c>
      <c r="B10">
        <f>Calculations!Q10</f>
        <v>2.3287539885975801</v>
      </c>
      <c r="C10">
        <f>Calculations!Y10+B10</f>
        <v>11.292294923710575</v>
      </c>
      <c r="D10">
        <f>Calculations!AG10+C10</f>
        <v>15.258639826189354</v>
      </c>
      <c r="E10">
        <f>Calculations!AO10+D10</f>
        <v>17.504422271767673</v>
      </c>
      <c r="F10">
        <f>Calculations!AW10+E10</f>
        <v>19.566139549614395</v>
      </c>
      <c r="G10">
        <f>Calculations!BE10+F10</f>
        <v>21.246079511948501</v>
      </c>
      <c r="H10">
        <f>Calculations!BM10+G10</f>
        <v>21.980853289069817</v>
      </c>
      <c r="I10">
        <f>Calculations!BU10+H10</f>
        <v>23.176502338392623</v>
      </c>
      <c r="J10">
        <f>Calculations!CC10+I10</f>
        <v>25.082040041362323</v>
      </c>
      <c r="K10">
        <f>Calculations!CK10+J10</f>
        <v>31.985820691853093</v>
      </c>
      <c r="L10">
        <f>Calculations!CS10+K10</f>
        <v>40.545607213523603</v>
      </c>
      <c r="M10">
        <f>Calculations!DA10+L10</f>
        <v>57.896398142236251</v>
      </c>
      <c r="N10">
        <f>Calculations!DI10+M10</f>
        <v>77.919420349650807</v>
      </c>
      <c r="O10">
        <f>Calculations!DQ10+N10</f>
        <v>88.631478971569379</v>
      </c>
      <c r="P10">
        <f>Calculations!DY10+O10</f>
        <v>95.801790569247572</v>
      </c>
      <c r="Q10">
        <f>Calculations!EG10+P10</f>
        <v>100.94985864592722</v>
      </c>
      <c r="R10">
        <f>Calculations!EO10+Q10</f>
        <v>105.95017851601712</v>
      </c>
      <c r="S10">
        <f>Calculations!EW10+R10</f>
        <v>110.46162626060317</v>
      </c>
      <c r="T10">
        <f>Calculations!FE10+S10</f>
        <v>114.58518708516372</v>
      </c>
      <c r="U10">
        <f>Calculations!FM10+T10</f>
        <v>117.12140865926288</v>
      </c>
    </row>
    <row r="11" spans="1:21" ht="19" x14ac:dyDescent="0.25">
      <c r="A11" s="29" t="s">
        <v>28</v>
      </c>
      <c r="B11">
        <f>Calculations!Q11</f>
        <v>4.281243334911915</v>
      </c>
      <c r="C11">
        <f>Calculations!Y11+B11</f>
        <v>31.838582537783026</v>
      </c>
      <c r="D11">
        <f>Calculations!AG11+C11</f>
        <v>62.921366970353262</v>
      </c>
      <c r="E11">
        <f>Calculations!AO11+D11</f>
        <v>94.533595264108783</v>
      </c>
      <c r="F11">
        <f>Calculations!AW11+E11</f>
        <v>123.98420578032868</v>
      </c>
      <c r="G11">
        <f>Calculations!BE11+F11</f>
        <v>210.85266249805898</v>
      </c>
      <c r="H11">
        <f>Calculations!BM11+G11</f>
        <v>259.93841212844166</v>
      </c>
      <c r="I11">
        <f>Calculations!BU11+H11</f>
        <v>304.64218153848822</v>
      </c>
      <c r="J11">
        <f>Calculations!CC11+I11</f>
        <v>606.3407144912635</v>
      </c>
      <c r="K11">
        <f>Calculations!CK11+J11</f>
        <v>788.86883460609351</v>
      </c>
      <c r="L11">
        <f>Calculations!CS11+K11</f>
        <v>848.74896413465899</v>
      </c>
      <c r="M11">
        <f>Calculations!DA11+L11</f>
        <v>903.91300094527821</v>
      </c>
      <c r="N11">
        <f>Calculations!DI11+M11</f>
        <v>974.88428788050919</v>
      </c>
      <c r="O11">
        <f>Calculations!DQ11+N11</f>
        <v>1035.3013429942216</v>
      </c>
      <c r="P11">
        <f>Calculations!DY11+O11</f>
        <v>1113.6494448125009</v>
      </c>
      <c r="Q11">
        <f>Calculations!EG11+P11</f>
        <v>1193.3185793609327</v>
      </c>
      <c r="R11">
        <f>Calculations!EO11+Q11</f>
        <v>1276.7262263218786</v>
      </c>
      <c r="S11">
        <f>Calculations!EW11+R11</f>
        <v>1346.9038626499987</v>
      </c>
      <c r="T11">
        <f>Calculations!FE11+S11</f>
        <v>1409.8675118687911</v>
      </c>
      <c r="U11">
        <f>Calculations!FM11+T11</f>
        <v>1442.5265746141533</v>
      </c>
    </row>
    <row r="12" spans="1:21" ht="19" x14ac:dyDescent="0.25">
      <c r="A12" s="29" t="s">
        <v>29</v>
      </c>
      <c r="B12">
        <f>Calculations!Q12</f>
        <v>4.8061342415858741</v>
      </c>
      <c r="C12">
        <f>Calculations!Y12+B12</f>
        <v>32.914957907800321</v>
      </c>
      <c r="D12">
        <f>Calculations!AG12+C12</f>
        <v>62.914627612517265</v>
      </c>
      <c r="E12">
        <f>Calculations!AO12+D12</f>
        <v>94.657649417684098</v>
      </c>
      <c r="F12">
        <f>Calculations!AW12+E12</f>
        <v>132.27902922905216</v>
      </c>
      <c r="G12">
        <f>Calculations!BE12+F12</f>
        <v>176.52049529850831</v>
      </c>
      <c r="H12">
        <f>Calculations!BM12+G12</f>
        <v>189.1894874574906</v>
      </c>
      <c r="I12">
        <f>Calculations!BU12+H12</f>
        <v>207.84883308125742</v>
      </c>
      <c r="J12">
        <f>Calculations!CC12+I12</f>
        <v>243.16132521309711</v>
      </c>
      <c r="K12">
        <f>Calculations!CK12+J12</f>
        <v>291.81799825940612</v>
      </c>
      <c r="L12">
        <f>Calculations!CS12+K12</f>
        <v>322.76923956494085</v>
      </c>
      <c r="M12">
        <f>Calculations!DA12+L12</f>
        <v>362.61305723677117</v>
      </c>
      <c r="N12">
        <f>Calculations!DI12+M12</f>
        <v>414.86630215212716</v>
      </c>
      <c r="O12">
        <f>Calculations!DQ12+N12</f>
        <v>485.56953931317241</v>
      </c>
      <c r="P12">
        <f>Calculations!DY12+O12</f>
        <v>570.70682751545689</v>
      </c>
      <c r="Q12">
        <f>Calculations!EG12+P12</f>
        <v>649.43046700565367</v>
      </c>
      <c r="R12">
        <f>Calculations!EO12+Q12</f>
        <v>717.89658016881253</v>
      </c>
      <c r="S12">
        <f>Calculations!EW12+R12</f>
        <v>784.2188028389146</v>
      </c>
      <c r="T12">
        <f>Calculations!FE12+S12</f>
        <v>846.29711659567477</v>
      </c>
      <c r="U12">
        <f>Calculations!FM12+T12</f>
        <v>881.63791881753775</v>
      </c>
    </row>
    <row r="13" spans="1:21" ht="19" x14ac:dyDescent="0.25">
      <c r="A13" s="29" t="s">
        <v>30</v>
      </c>
      <c r="B13">
        <f>Calculations!Q13</f>
        <v>9.6589562150685779</v>
      </c>
      <c r="C13">
        <f>Calculations!Y13+B13</f>
        <v>34.899691502604497</v>
      </c>
      <c r="D13">
        <f>Calculations!AG13+C13</f>
        <v>58.297197122307459</v>
      </c>
      <c r="E13">
        <f>Calculations!AO13+D13</f>
        <v>92.96240256156949</v>
      </c>
      <c r="F13">
        <f>Calculations!AW13+E13</f>
        <v>126.40304713130128</v>
      </c>
      <c r="G13">
        <f>Calculations!BE13+F13</f>
        <v>163.5827138639234</v>
      </c>
      <c r="H13">
        <f>Calculations!BM13+G13</f>
        <v>180.7825389014281</v>
      </c>
      <c r="I13">
        <f>Calculations!BU13+H13</f>
        <v>195.16102718288545</v>
      </c>
      <c r="J13">
        <f>Calculations!CC13+I13</f>
        <v>224.58555420302886</v>
      </c>
      <c r="K13">
        <f>Calculations!CK13+J13</f>
        <v>266.47117159290849</v>
      </c>
      <c r="L13">
        <f>Calculations!CS13+K13</f>
        <v>295.43036604993603</v>
      </c>
      <c r="M13">
        <f>Calculations!DA13+L13</f>
        <v>330.25340309219689</v>
      </c>
      <c r="N13">
        <f>Calculations!DI13+M13</f>
        <v>383.65113642127079</v>
      </c>
      <c r="O13">
        <f>Calculations!DQ13+N13</f>
        <v>430.35321140926914</v>
      </c>
      <c r="P13">
        <f>Calculations!DY13+O13</f>
        <v>489.15248065611286</v>
      </c>
      <c r="Q13">
        <f>Calculations!EG13+P13</f>
        <v>543.4927997589233</v>
      </c>
      <c r="R13">
        <f>Calculations!EO13+Q13</f>
        <v>618.06209939674739</v>
      </c>
      <c r="S13">
        <f>Calculations!EW13+R13</f>
        <v>680.27207444159012</v>
      </c>
      <c r="T13">
        <f>Calculations!FE13+S13</f>
        <v>748.0562240741599</v>
      </c>
      <c r="U13">
        <f>Calculations!FM13+T13</f>
        <v>779.52229854206394</v>
      </c>
    </row>
    <row r="14" spans="1:21" ht="19" x14ac:dyDescent="0.25">
      <c r="A14" s="29" t="s">
        <v>31</v>
      </c>
      <c r="B14">
        <f>Calculations!Q14</f>
        <v>4.8108702274794846</v>
      </c>
      <c r="C14">
        <f>Calculations!Y14+B14</f>
        <v>30.555076881164037</v>
      </c>
      <c r="D14">
        <f>Calculations!AG14+C14</f>
        <v>58.338903478467287</v>
      </c>
      <c r="E14">
        <f>Calculations!AO14+D14</f>
        <v>86.160686866006529</v>
      </c>
      <c r="F14">
        <f>Calculations!AW14+E14</f>
        <v>124.65925271668114</v>
      </c>
      <c r="G14">
        <f>Calculations!BE14+F14</f>
        <v>177.97835106310967</v>
      </c>
      <c r="H14">
        <f>Calculations!BM14+G14</f>
        <v>194.60372485170109</v>
      </c>
      <c r="I14">
        <f>Calculations!BU14+H14</f>
        <v>211.76337425679654</v>
      </c>
      <c r="J14">
        <f>Calculations!CC14+I14</f>
        <v>248.59436931470566</v>
      </c>
      <c r="K14">
        <f>Calculations!CK14+J14</f>
        <v>299.59194084046652</v>
      </c>
      <c r="L14">
        <f>Calculations!CS14+K14</f>
        <v>335.2710180952692</v>
      </c>
      <c r="M14">
        <f>Calculations!DA14+L14</f>
        <v>385.49774793789425</v>
      </c>
      <c r="N14">
        <f>Calculations!DI14+M14</f>
        <v>441.58277875539426</v>
      </c>
      <c r="O14">
        <f>Calculations!DQ14+N14</f>
        <v>509.61737960196865</v>
      </c>
      <c r="P14">
        <f>Calculations!DY14+O14</f>
        <v>571.09662651232566</v>
      </c>
      <c r="Q14">
        <f>Calculations!EG14+P14</f>
        <v>632.8218511782959</v>
      </c>
      <c r="R14">
        <f>Calculations!EO14+Q14</f>
        <v>708.62926752030148</v>
      </c>
      <c r="S14">
        <f>Calculations!EW14+R14</f>
        <v>789.4074576093127</v>
      </c>
      <c r="T14">
        <f>Calculations!FE14+S14</f>
        <v>869.32020683022233</v>
      </c>
      <c r="U14">
        <f>Calculations!FM14+T14</f>
        <v>925.55011632702622</v>
      </c>
    </row>
    <row r="15" spans="1:21" ht="19" x14ac:dyDescent="0.25">
      <c r="A15" s="29" t="s">
        <v>32</v>
      </c>
      <c r="B15">
        <f>Calculations!Q15</f>
        <v>1.323170280729139</v>
      </c>
      <c r="C15">
        <f>Calculations!Y15+B15</f>
        <v>29.788842738140485</v>
      </c>
      <c r="D15">
        <f>Calculations!AG15+C15</f>
        <v>57.475863869663584</v>
      </c>
      <c r="E15">
        <f>Calculations!AO15+D15</f>
        <v>93.769776455156119</v>
      </c>
      <c r="F15">
        <f>Calculations!AW15+E15</f>
        <v>123.43522663803139</v>
      </c>
      <c r="G15">
        <f>Calculations!BE15+F15</f>
        <v>187.99124064566334</v>
      </c>
      <c r="H15">
        <f>Calculations!BM15+G15</f>
        <v>209.79304444519929</v>
      </c>
      <c r="I15">
        <f>Calculations!BU15+H15</f>
        <v>228.55699137266853</v>
      </c>
      <c r="J15">
        <f>Calculations!CC15+I15</f>
        <v>281.34880310066359</v>
      </c>
      <c r="K15">
        <f>Calculations!CK15+J15</f>
        <v>363.88150665417419</v>
      </c>
      <c r="L15">
        <f>Calculations!CS15+K15</f>
        <v>382.11334680927143</v>
      </c>
      <c r="M15">
        <f>Calculations!DA15+L15</f>
        <v>526.99768626065372</v>
      </c>
      <c r="N15">
        <f>Calculations!DI15+M15</f>
        <v>687.59991203805203</v>
      </c>
      <c r="O15">
        <f>Calculations!DQ15+N15</f>
        <v>798.21342378507882</v>
      </c>
      <c r="P15">
        <f>Calculations!DY15+O15</f>
        <v>903.03772634487791</v>
      </c>
      <c r="Q15">
        <f>Calculations!EG15+P15</f>
        <v>983.04156001535841</v>
      </c>
      <c r="R15">
        <f>Calculations!EO15+Q15</f>
        <v>1095.0846876233063</v>
      </c>
      <c r="S15">
        <f>Calculations!EW15+R15</f>
        <v>1198.0255771811626</v>
      </c>
      <c r="T15">
        <f>Calculations!FE15+S15</f>
        <v>1336.3568943645259</v>
      </c>
      <c r="U15">
        <f>Calculations!FM15+T15</f>
        <v>1393.4988740657061</v>
      </c>
    </row>
    <row r="16" spans="1:21" ht="19" x14ac:dyDescent="0.25">
      <c r="A16" s="29" t="s">
        <v>33</v>
      </c>
      <c r="B16">
        <f>Calculations!Q16</f>
        <v>2.8831250613803769</v>
      </c>
      <c r="C16">
        <f>Calculations!Y16+B16</f>
        <v>37.390058764728018</v>
      </c>
      <c r="D16">
        <f>Calculations!AG16+C16</f>
        <v>76.444781967054467</v>
      </c>
      <c r="E16">
        <f>Calculations!AO16+D16</f>
        <v>110.57058135551665</v>
      </c>
      <c r="F16">
        <f>Calculations!AW16+E16</f>
        <v>146.92200137675266</v>
      </c>
      <c r="G16">
        <f>Calculations!BE16+F16</f>
        <v>200.75961766269916</v>
      </c>
      <c r="H16">
        <f>Calculations!BM16+G16</f>
        <v>217.70465228361019</v>
      </c>
      <c r="I16">
        <f>Calculations!BU16+H16</f>
        <v>237.73565946271418</v>
      </c>
      <c r="J16">
        <f>Calculations!CC16+I16</f>
        <v>282.26627578368726</v>
      </c>
      <c r="K16">
        <f>Calculations!CK16+J16</f>
        <v>372.37620194323802</v>
      </c>
      <c r="L16">
        <f>Calculations!CS16+K16</f>
        <v>445.77271067297772</v>
      </c>
      <c r="M16">
        <f>Calculations!DA16+L16</f>
        <v>621.01813350495308</v>
      </c>
      <c r="N16">
        <f>Calculations!DI16+M16</f>
        <v>836.68633442727423</v>
      </c>
      <c r="O16">
        <f>Calculations!DQ16+N16</f>
        <v>999.22649806012396</v>
      </c>
      <c r="P16">
        <f>Calculations!DY16+O16</f>
        <v>1110.6133919762162</v>
      </c>
      <c r="Q16">
        <f>Calculations!EG16+P16</f>
        <v>1213.0344357931203</v>
      </c>
      <c r="R16">
        <f>Calculations!EO16+Q16</f>
        <v>1327.5521855292318</v>
      </c>
      <c r="S16">
        <f>Calculations!EW16+R16</f>
        <v>1508.905653810082</v>
      </c>
      <c r="T16">
        <f>Calculations!FE16+S16</f>
        <v>1616.6993869687778</v>
      </c>
      <c r="U16">
        <f>Calculations!FM16+T16</f>
        <v>1683.7254972629803</v>
      </c>
    </row>
    <row r="17" spans="1:21" ht="19" x14ac:dyDescent="0.25">
      <c r="A17" s="29" t="s">
        <v>34</v>
      </c>
      <c r="B17">
        <f>Calculations!Q17</f>
        <v>7.8837756452073071</v>
      </c>
      <c r="C17">
        <f>Calculations!Y17+B17</f>
        <v>43.819555261282261</v>
      </c>
      <c r="D17">
        <f>Calculations!AG17+C17</f>
        <v>74.524155498368287</v>
      </c>
      <c r="E17">
        <f>Calculations!AO17+D17</f>
        <v>112.50609066376033</v>
      </c>
      <c r="F17">
        <f>Calculations!AW17+E17</f>
        <v>143.32159090863669</v>
      </c>
      <c r="G17">
        <f>Calculations!BE17+F17</f>
        <v>209.93043506727855</v>
      </c>
      <c r="H17">
        <f>Calculations!BM17+G17</f>
        <v>232.16070065179795</v>
      </c>
      <c r="I17">
        <f>Calculations!BU17+H17</f>
        <v>254.95780698743465</v>
      </c>
      <c r="J17">
        <f>Calculations!CC17+I17</f>
        <v>298.66270746642215</v>
      </c>
      <c r="K17">
        <f>Calculations!CK17+J17</f>
        <v>369.12356437650999</v>
      </c>
      <c r="L17">
        <f>Calculations!CS17+K17</f>
        <v>419.53502265827962</v>
      </c>
      <c r="M17">
        <f>Calculations!DA17+L17</f>
        <v>518.66278363775314</v>
      </c>
      <c r="N17">
        <f>Calculations!DI17+M17</f>
        <v>604.39860597580741</v>
      </c>
      <c r="O17">
        <f>Calculations!DQ17+N17</f>
        <v>667.17443780880433</v>
      </c>
      <c r="P17">
        <f>Calculations!DY17+O17</f>
        <v>722.96937408806184</v>
      </c>
      <c r="Q17">
        <f>Calculations!EG17+P17</f>
        <v>775.01840952783175</v>
      </c>
      <c r="R17">
        <f>Calculations!EO17+Q17</f>
        <v>835.58971999324649</v>
      </c>
      <c r="S17">
        <f>Calculations!EW17+R17</f>
        <v>897.52754999918977</v>
      </c>
      <c r="T17">
        <f>Calculations!FE17+S17</f>
        <v>966.40312776586995</v>
      </c>
      <c r="U17">
        <f>Calculations!FM17+T17</f>
        <v>1015.1529447101592</v>
      </c>
    </row>
    <row r="18" spans="1:21" ht="19" x14ac:dyDescent="0.25">
      <c r="A18" s="29" t="s">
        <v>35</v>
      </c>
      <c r="B18">
        <f>Calculations!Q18</f>
        <v>1.8283835168161633</v>
      </c>
      <c r="C18">
        <f>Calculations!Y18+B18</f>
        <v>18.172746683804355</v>
      </c>
      <c r="D18">
        <f>Calculations!AG18+C18</f>
        <v>28.821038795009777</v>
      </c>
      <c r="E18">
        <f>Calculations!AO18+D18</f>
        <v>39.76731934934157</v>
      </c>
      <c r="F18">
        <f>Calculations!AW18+E18</f>
        <v>50.366549719784771</v>
      </c>
      <c r="G18">
        <f>Calculations!BE18+F18</f>
        <v>67.891507390970474</v>
      </c>
      <c r="H18">
        <f>Calculations!BM18+G18</f>
        <v>81.657520444656953</v>
      </c>
      <c r="I18">
        <f>Calculations!BU18+H18</f>
        <v>96.023205168443553</v>
      </c>
      <c r="J18">
        <f>Calculations!CC18+I18</f>
        <v>111.18285714579206</v>
      </c>
      <c r="K18">
        <f>Calculations!CK18+J18</f>
        <v>128.79371001555953</v>
      </c>
      <c r="L18">
        <f>Calculations!CS18+K18</f>
        <v>146.6865940288329</v>
      </c>
      <c r="M18">
        <f>Calculations!DA18+L18</f>
        <v>165.96200658317059</v>
      </c>
      <c r="N18">
        <f>Calculations!DI18+M18</f>
        <v>185.60612158740796</v>
      </c>
      <c r="O18">
        <f>Calculations!DQ18+N18</f>
        <v>205.19302604629581</v>
      </c>
      <c r="P18">
        <f>Calculations!DY18+O18</f>
        <v>225.2368067347077</v>
      </c>
      <c r="Q18">
        <f>Calculations!EG18+P18</f>
        <v>244.65578121518692</v>
      </c>
      <c r="R18">
        <f>Calculations!EO18+Q18</f>
        <v>262.68797921725979</v>
      </c>
      <c r="S18">
        <f>Calculations!EW18+R18</f>
        <v>280.61816386550794</v>
      </c>
      <c r="T18">
        <f>Calculations!FE18+S18</f>
        <v>298.4149572576593</v>
      </c>
      <c r="U18">
        <f>Calculations!FM18+T18</f>
        <v>316.66412749421841</v>
      </c>
    </row>
    <row r="19" spans="1:21" ht="19" x14ac:dyDescent="0.25">
      <c r="A19" s="29" t="s">
        <v>36</v>
      </c>
      <c r="B19">
        <f>Calculations!Q19</f>
        <v>6.8274795838192075</v>
      </c>
      <c r="C19">
        <f>Calculations!Y19+B19</f>
        <v>67.510333496048347</v>
      </c>
      <c r="D19">
        <f>Calculations!AG19+C19</f>
        <v>95.315687480712882</v>
      </c>
      <c r="E19">
        <f>Calculations!AO19+D19</f>
        <v>115.90289982779244</v>
      </c>
      <c r="F19">
        <f>Calculations!AW19+E19</f>
        <v>126.43004680043931</v>
      </c>
      <c r="G19">
        <f>Calculations!BE19+F19</f>
        <v>138.77550691409127</v>
      </c>
      <c r="H19">
        <f>Calculations!BM19+G19</f>
        <v>144.93748965354155</v>
      </c>
      <c r="I19">
        <f>Calculations!BU19+H19</f>
        <v>151.93711817196075</v>
      </c>
      <c r="J19">
        <f>Calculations!CC19+I19</f>
        <v>166.57207426812201</v>
      </c>
      <c r="K19">
        <f>Calculations!CK19+J19</f>
        <v>185.53993440553415</v>
      </c>
      <c r="L19">
        <f>Calculations!CS19+K19</f>
        <v>201.55128911075371</v>
      </c>
      <c r="M19">
        <f>Calculations!DA19+L19</f>
        <v>238.91488546458345</v>
      </c>
      <c r="N19">
        <f>Calculations!DI19+M19</f>
        <v>356.51371633011007</v>
      </c>
      <c r="O19">
        <f>Calculations!DQ19+N19</f>
        <v>451.80085810359594</v>
      </c>
      <c r="P19">
        <f>Calculations!DY19+O19</f>
        <v>532.69629335653929</v>
      </c>
      <c r="Q19">
        <f>Calculations!EG19+P19</f>
        <v>616.10736212499421</v>
      </c>
      <c r="R19">
        <f>Calculations!EO19+Q19</f>
        <v>757.34455976948334</v>
      </c>
      <c r="S19">
        <f>Calculations!EW19+R19</f>
        <v>905.37731297412961</v>
      </c>
      <c r="T19">
        <f>Calculations!FE19+S19</f>
        <v>994.87343996418883</v>
      </c>
      <c r="U19">
        <f>Calculations!FM19+T19</f>
        <v>1030.7601154429401</v>
      </c>
    </row>
    <row r="20" spans="1:21" ht="19" x14ac:dyDescent="0.25">
      <c r="A20" s="29" t="s">
        <v>37</v>
      </c>
      <c r="B20">
        <f>Calculations!Q20</f>
        <v>8.4339546170749315</v>
      </c>
      <c r="C20">
        <f>Calculations!Y20+B20</f>
        <v>55.392074398628537</v>
      </c>
      <c r="D20">
        <f>Calculations!AG20+C20</f>
        <v>80.916807447493369</v>
      </c>
      <c r="E20">
        <f>Calculations!AO20+D20</f>
        <v>101.41200230148524</v>
      </c>
      <c r="F20">
        <f>Calculations!AW20+E20</f>
        <v>117.35933907900134</v>
      </c>
      <c r="G20">
        <f>Calculations!BE20+F20</f>
        <v>131.56157974642775</v>
      </c>
      <c r="H20">
        <f>Calculations!BM20+G20</f>
        <v>147.12376342031968</v>
      </c>
      <c r="I20">
        <f>Calculations!BU20+H20</f>
        <v>155.85355910460461</v>
      </c>
      <c r="J20">
        <f>Calculations!CC20+I20</f>
        <v>171.53332022167643</v>
      </c>
      <c r="K20">
        <f>Calculations!CK20+J20</f>
        <v>191.58557135469954</v>
      </c>
      <c r="L20">
        <f>Calculations!CS20+K20</f>
        <v>202.99053966332275</v>
      </c>
      <c r="M20">
        <f>Calculations!DA20+L20</f>
        <v>221.06385189749878</v>
      </c>
      <c r="N20">
        <f>Calculations!DI20+M20</f>
        <v>247.96739213254801</v>
      </c>
      <c r="O20">
        <f>Calculations!DQ20+N20</f>
        <v>355.18659260459066</v>
      </c>
      <c r="P20">
        <f>Calculations!DY20+O20</f>
        <v>474.48816422772444</v>
      </c>
      <c r="Q20">
        <f>Calculations!EG20+P20</f>
        <v>637.28636426587127</v>
      </c>
      <c r="R20">
        <f>Calculations!EO20+Q20</f>
        <v>775.4966703000805</v>
      </c>
      <c r="S20">
        <f>Calculations!EW20+R20</f>
        <v>875.6103064739749</v>
      </c>
      <c r="T20">
        <f>Calculations!FE20+S20</f>
        <v>948.17304721538085</v>
      </c>
      <c r="U20">
        <f>Calculations!FM20+T20</f>
        <v>984.91164567110775</v>
      </c>
    </row>
    <row r="21" spans="1:21" ht="19" x14ac:dyDescent="0.25">
      <c r="A21" s="29" t="s">
        <v>38</v>
      </c>
      <c r="B21">
        <f>Calculations!Q21</f>
        <v>10.720381803729392</v>
      </c>
      <c r="C21">
        <f>Calculations!Y21+B21</f>
        <v>72.504070187455554</v>
      </c>
      <c r="D21">
        <f>Calculations!AG21+C21</f>
        <v>94.69233878088653</v>
      </c>
      <c r="E21">
        <f>Calculations!AO21+D21</f>
        <v>115.212425720623</v>
      </c>
      <c r="F21">
        <f>Calculations!AW21+E21</f>
        <v>128.49583610863894</v>
      </c>
      <c r="G21">
        <f>Calculations!BE21+F21</f>
        <v>144.66950078883525</v>
      </c>
      <c r="H21">
        <f>Calculations!BM21+G21</f>
        <v>152.18993062406901</v>
      </c>
      <c r="I21">
        <f>Calculations!BU21+H21</f>
        <v>160.15982850916001</v>
      </c>
      <c r="J21">
        <f>Calculations!CC21+I21</f>
        <v>175.73331591814741</v>
      </c>
      <c r="K21">
        <f>Calculations!CK21+J21</f>
        <v>193.71954591492454</v>
      </c>
      <c r="L21">
        <f>Calculations!CS21+K21</f>
        <v>205.09816946124994</v>
      </c>
      <c r="M21">
        <f>Calculations!DA21+L21</f>
        <v>217.5314700432381</v>
      </c>
      <c r="N21">
        <f>Calculations!DI21+M21</f>
        <v>232.40546748308566</v>
      </c>
      <c r="O21">
        <f>Calculations!DQ21+N21</f>
        <v>246.09714127152287</v>
      </c>
      <c r="P21">
        <f>Calculations!DY21+O21</f>
        <v>263.14083008708275</v>
      </c>
      <c r="Q21">
        <f>Calculations!EG21+P21</f>
        <v>284.61915858864796</v>
      </c>
      <c r="R21">
        <f>Calculations!EO21+Q21</f>
        <v>331.23562572239075</v>
      </c>
      <c r="S21">
        <f>Calculations!EW21+R21</f>
        <v>416.85365810445512</v>
      </c>
      <c r="T21">
        <f>Calculations!FE21+S21</f>
        <v>540.9153224658553</v>
      </c>
      <c r="U21">
        <f>Calculations!FM21+T21</f>
        <v>592.20484158173485</v>
      </c>
    </row>
    <row r="22" spans="1:21" ht="19" x14ac:dyDescent="0.25">
      <c r="A22" s="29" t="s">
        <v>39</v>
      </c>
      <c r="B22">
        <f>Calculations!Q22</f>
        <v>11.805498089033707</v>
      </c>
      <c r="C22">
        <f>Calculations!Y22+B22</f>
        <v>73.39280247746548</v>
      </c>
      <c r="D22">
        <f>Calculations!AG22+C22</f>
        <v>104.15420665496238</v>
      </c>
      <c r="E22">
        <f>Calculations!AO22+D22</f>
        <v>125.91616947553746</v>
      </c>
      <c r="F22">
        <f>Calculations!AW22+E22</f>
        <v>142.50982183049771</v>
      </c>
      <c r="G22">
        <f>Calculations!BE22+F22</f>
        <v>159.81914022249018</v>
      </c>
      <c r="H22">
        <f>Calculations!BM22+G22</f>
        <v>167.87347656442168</v>
      </c>
      <c r="I22">
        <f>Calculations!BU22+H22</f>
        <v>178.52038801942393</v>
      </c>
      <c r="J22">
        <f>Calculations!CC22+I22</f>
        <v>196.12584045330024</v>
      </c>
      <c r="K22">
        <f>Calculations!CK22+J22</f>
        <v>219.30132401144479</v>
      </c>
      <c r="L22">
        <f>Calculations!CS22+K22</f>
        <v>233.51282733897119</v>
      </c>
      <c r="M22">
        <f>Calculations!DA22+L22</f>
        <v>249.21323876378156</v>
      </c>
      <c r="N22">
        <f>Calculations!DI22+M22</f>
        <v>265.95250800637859</v>
      </c>
      <c r="O22">
        <f>Calculations!DQ22+N22</f>
        <v>282.02572824115776</v>
      </c>
      <c r="P22">
        <f>Calculations!DY22+O22</f>
        <v>301.24979563076539</v>
      </c>
      <c r="Q22">
        <f>Calculations!EG22+P22</f>
        <v>329.05120035340764</v>
      </c>
      <c r="R22">
        <f>Calculations!EO22+Q22</f>
        <v>393.31273817441263</v>
      </c>
      <c r="S22">
        <f>Calculations!EW22+R22</f>
        <v>474.31102092243162</v>
      </c>
      <c r="T22">
        <f>Calculations!FE22+S22</f>
        <v>595.93467981765457</v>
      </c>
      <c r="U22">
        <f>Calculations!FM22+T22</f>
        <v>644.84069822908805</v>
      </c>
    </row>
    <row r="23" spans="1:21" ht="19" x14ac:dyDescent="0.25">
      <c r="A23" s="29" t="s">
        <v>40</v>
      </c>
      <c r="B23">
        <f>Calculations!Q23</f>
        <v>11.825102762412641</v>
      </c>
      <c r="C23">
        <f>Calculations!Y23+B23</f>
        <v>52.531969024277316</v>
      </c>
      <c r="D23">
        <f>Calculations!AG23+C23</f>
        <v>71.475149021694534</v>
      </c>
      <c r="E23">
        <f>Calculations!AO23+D23</f>
        <v>87.1194307258923</v>
      </c>
      <c r="F23">
        <f>Calculations!AW23+E23</f>
        <v>99.697204155463794</v>
      </c>
      <c r="G23">
        <f>Calculations!BE23+F23</f>
        <v>112.3780613528579</v>
      </c>
      <c r="H23">
        <f>Calculations!BM23+G23</f>
        <v>121.14810047393573</v>
      </c>
      <c r="I23">
        <f>Calculations!BU23+H23</f>
        <v>131.16388292945166</v>
      </c>
      <c r="J23">
        <f>Calculations!CC23+I23</f>
        <v>144.26421419347275</v>
      </c>
      <c r="K23">
        <f>Calculations!CK23+J23</f>
        <v>160.96521789415982</v>
      </c>
      <c r="L23">
        <f>Calculations!CS23+K23</f>
        <v>185.09941448560792</v>
      </c>
      <c r="M23">
        <f>Calculations!DA23+L23</f>
        <v>209.31360479045745</v>
      </c>
      <c r="N23">
        <f>Calculations!DI23+M23</f>
        <v>231.47463245654782</v>
      </c>
      <c r="O23">
        <f>Calculations!DQ23+N23</f>
        <v>247.86352550739173</v>
      </c>
      <c r="P23">
        <f>Calculations!DY23+O23</f>
        <v>265.21381758435075</v>
      </c>
      <c r="Q23">
        <f>Calculations!EG23+P23</f>
        <v>283.54690659141988</v>
      </c>
      <c r="R23">
        <f>Calculations!EO23+Q23</f>
        <v>299.57254969400105</v>
      </c>
      <c r="S23">
        <f>Calculations!EW23+R23</f>
        <v>316.30452325064039</v>
      </c>
      <c r="T23">
        <f>Calculations!FE23+S23</f>
        <v>333.24200888339033</v>
      </c>
      <c r="U23">
        <f>Calculations!FM23+T23</f>
        <v>348.83075787470818</v>
      </c>
    </row>
    <row r="24" spans="1:21" ht="19" x14ac:dyDescent="0.25">
      <c r="A24" s="29" t="s">
        <v>41</v>
      </c>
      <c r="B24">
        <f>Calculations!Q24</f>
        <v>17.240615640891406</v>
      </c>
      <c r="C24">
        <f>Calculations!Y24+B24</f>
        <v>76.194737210620417</v>
      </c>
      <c r="D24">
        <f>Calculations!AG24+C24</f>
        <v>99.977091479681548</v>
      </c>
      <c r="E24">
        <f>Calculations!AO24+D24</f>
        <v>115.52470885082923</v>
      </c>
      <c r="F24">
        <f>Calculations!AW24+E24</f>
        <v>129.76323799729221</v>
      </c>
      <c r="G24">
        <f>Calculations!BE24+F24</f>
        <v>144.37589165525605</v>
      </c>
      <c r="H24">
        <f>Calculations!BM24+G24</f>
        <v>153.76926539911994</v>
      </c>
      <c r="I24">
        <f>Calculations!BU24+H24</f>
        <v>166.10193454767509</v>
      </c>
      <c r="J24">
        <f>Calculations!CC24+I24</f>
        <v>184.21301997891132</v>
      </c>
      <c r="K24">
        <f>Calculations!CK24+J24</f>
        <v>214.99851924069475</v>
      </c>
      <c r="L24">
        <f>Calculations!CS24+K24</f>
        <v>255.76775445986098</v>
      </c>
      <c r="M24">
        <f>Calculations!DA24+L24</f>
        <v>300.14331504512563</v>
      </c>
      <c r="N24">
        <f>Calculations!DI24+M24</f>
        <v>327.36823666838757</v>
      </c>
      <c r="O24">
        <f>Calculations!DQ24+N24</f>
        <v>352.05541992355018</v>
      </c>
      <c r="P24">
        <f>Calculations!DY24+O24</f>
        <v>374.68902515692304</v>
      </c>
      <c r="Q24">
        <f>Calculations!EG24+P24</f>
        <v>396.32325606825174</v>
      </c>
      <c r="R24">
        <f>Calculations!EO24+Q24</f>
        <v>422.75751742973898</v>
      </c>
      <c r="S24">
        <f>Calculations!EW24+R24</f>
        <v>446.83479879734307</v>
      </c>
      <c r="T24">
        <f>Calculations!FE24+S24</f>
        <v>469.85758080071503</v>
      </c>
      <c r="U24">
        <f>Calculations!FM24+T24</f>
        <v>490.20032681084166</v>
      </c>
    </row>
    <row r="25" spans="1:21" ht="19" x14ac:dyDescent="0.25">
      <c r="A25" s="29" t="s">
        <v>42</v>
      </c>
      <c r="B25">
        <f>Calculations!Q25</f>
        <v>12.622531755016617</v>
      </c>
      <c r="C25">
        <f>Calculations!Y25+B25</f>
        <v>57.771006795229376</v>
      </c>
      <c r="D25">
        <f>Calculations!AG25+C25</f>
        <v>77.65802153369016</v>
      </c>
      <c r="E25">
        <f>Calculations!AO25+D25</f>
        <v>92.94367482186135</v>
      </c>
      <c r="F25">
        <f>Calculations!AW25+E25</f>
        <v>105.74990704821506</v>
      </c>
      <c r="G25">
        <f>Calculations!BE25+F25</f>
        <v>118.72090859201985</v>
      </c>
      <c r="H25">
        <f>Calculations!BM25+G25</f>
        <v>128.39047649062655</v>
      </c>
      <c r="I25">
        <f>Calculations!BU25+H25</f>
        <v>139.14022553210165</v>
      </c>
      <c r="J25">
        <f>Calculations!CC25+I25</f>
        <v>152.1974018821287</v>
      </c>
      <c r="K25">
        <f>Calculations!CK25+J25</f>
        <v>169.48268365981892</v>
      </c>
      <c r="L25">
        <f>Calculations!CS25+K25</f>
        <v>190.68806467586995</v>
      </c>
      <c r="M25">
        <f>Calculations!DA25+L25</f>
        <v>210.81902849387416</v>
      </c>
      <c r="N25">
        <f>Calculations!DI25+M25</f>
        <v>225.62289516089496</v>
      </c>
      <c r="O25">
        <f>Calculations!DQ25+N25</f>
        <v>240.67781885781218</v>
      </c>
      <c r="P25">
        <f>Calculations!DY25+O25</f>
        <v>255.05834930272388</v>
      </c>
      <c r="Q25">
        <f>Calculations!EG25+P25</f>
        <v>270.42424275678928</v>
      </c>
      <c r="R25">
        <f>Calculations!EO25+Q25</f>
        <v>283.78549217751288</v>
      </c>
      <c r="S25">
        <f>Calculations!EW25+R25</f>
        <v>296.94100666857821</v>
      </c>
      <c r="T25">
        <f>Calculations!FE25+S25</f>
        <v>310.43291860036646</v>
      </c>
      <c r="U25">
        <f>Calculations!FM25+T25</f>
        <v>324.27551384446451</v>
      </c>
    </row>
    <row r="26" spans="1:21" ht="19" x14ac:dyDescent="0.25">
      <c r="A26" s="29" t="s">
        <v>43</v>
      </c>
      <c r="B26">
        <f>Calculations!Q26</f>
        <v>33.501102686487954</v>
      </c>
      <c r="C26">
        <f>Calculations!Y26+B26</f>
        <v>98.585802177802364</v>
      </c>
      <c r="D26">
        <f>Calculations!AG26+C26</f>
        <v>120.391426298738</v>
      </c>
      <c r="E26">
        <f>Calculations!AO26+D26</f>
        <v>135.9763477402189</v>
      </c>
      <c r="F26">
        <f>Calculations!AW26+E26</f>
        <v>147.1307083234079</v>
      </c>
      <c r="G26">
        <f>Calculations!BE26+F26</f>
        <v>157.65271292770737</v>
      </c>
      <c r="H26">
        <f>Calculations!BM26+G26</f>
        <v>162.02868036960686</v>
      </c>
      <c r="I26">
        <f>Calculations!BU26+H26</f>
        <v>168.29728864944772</v>
      </c>
      <c r="J26">
        <f>Calculations!CC26+I26</f>
        <v>177.99610164254545</v>
      </c>
      <c r="K26">
        <f>Calculations!CK26+J26</f>
        <v>212.56292656943162</v>
      </c>
      <c r="L26">
        <f>Calculations!CS26+K26</f>
        <v>255.67696581038493</v>
      </c>
      <c r="M26">
        <f>Calculations!DA26+L26</f>
        <v>321.07473528730242</v>
      </c>
      <c r="N26">
        <f>Calculations!DI26+M26</f>
        <v>384.3573883061718</v>
      </c>
      <c r="O26">
        <f>Calculations!DQ26+N26</f>
        <v>427.74358827161706</v>
      </c>
      <c r="P26">
        <f>Calculations!DY26+O26</f>
        <v>464.51681334488353</v>
      </c>
      <c r="Q26">
        <f>Calculations!EG26+P26</f>
        <v>501.10318387656611</v>
      </c>
      <c r="R26">
        <f>Calculations!EO26+Q26</f>
        <v>548.69078144822242</v>
      </c>
      <c r="S26">
        <f>Calculations!EW26+R26</f>
        <v>591.85780393405071</v>
      </c>
      <c r="T26">
        <f>Calculations!FE26+S26</f>
        <v>635.47919501076581</v>
      </c>
      <c r="U26">
        <f>Calculations!FM26+T26</f>
        <v>654.86741730068286</v>
      </c>
    </row>
    <row r="28" spans="1:21" x14ac:dyDescent="0.2">
      <c r="A28" s="47" t="s">
        <v>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917C-332F-EA4F-B704-99954790027F}">
  <dimension ref="A1:D61"/>
  <sheetViews>
    <sheetView zoomScale="125" workbookViewId="0">
      <selection activeCell="D61" sqref="D61"/>
    </sheetView>
  </sheetViews>
  <sheetFormatPr baseColWidth="10" defaultRowHeight="16" x14ac:dyDescent="0.2"/>
  <sheetData>
    <row r="1" spans="1:4" x14ac:dyDescent="0.2">
      <c r="A1" t="s">
        <v>86</v>
      </c>
      <c r="B1" t="s">
        <v>9</v>
      </c>
      <c r="C1" t="s">
        <v>97</v>
      </c>
      <c r="D1" t="s">
        <v>98</v>
      </c>
    </row>
    <row r="2" spans="1:4" x14ac:dyDescent="0.2">
      <c r="A2" t="s">
        <v>87</v>
      </c>
      <c r="B2">
        <v>0</v>
      </c>
      <c r="C2">
        <f>AVERAGE(Cumulative_rate_figures!B3:B10)</f>
        <v>1.6888026158852929</v>
      </c>
      <c r="D2">
        <f>STDEV(Cumulative_rate_figures!B3:B10)/SQRT(COUNT(Cumulative_rate_figures!B3:B10))</f>
        <v>0.16212375621558647</v>
      </c>
    </row>
    <row r="3" spans="1:4" x14ac:dyDescent="0.2">
      <c r="A3" t="s">
        <v>92</v>
      </c>
      <c r="B3">
        <v>0</v>
      </c>
      <c r="C3">
        <f>AVERAGE(Cumulative_rate_figures!B11:B18)</f>
        <v>4.6844573153973545</v>
      </c>
      <c r="D3">
        <f>STDEV(Cumulative_rate_figures!B11:B18)/SQRT(COUNT(Cumulative_rate_figures!B11:B18))</f>
        <v>1.0166019207282395</v>
      </c>
    </row>
    <row r="4" spans="1:4" x14ac:dyDescent="0.2">
      <c r="A4" t="s">
        <v>93</v>
      </c>
      <c r="B4">
        <v>0</v>
      </c>
      <c r="C4">
        <f>AVERAGE(Cumulative_rate_figures!B19:B26)</f>
        <v>14.12208336730823</v>
      </c>
      <c r="D4">
        <f>STDEV(Cumulative_rate_figures!B19:B26)/SQRT(COUNT(Cumulative_rate_figures!B19:B26))</f>
        <v>2.9739962357317475</v>
      </c>
    </row>
    <row r="5" spans="1:4" x14ac:dyDescent="0.2">
      <c r="A5" t="s">
        <v>87</v>
      </c>
      <c r="B5">
        <v>1</v>
      </c>
      <c r="C5">
        <f>AVERAGE(Cumulative_rate_figures!C3:C10)</f>
        <v>11.891288878842101</v>
      </c>
      <c r="D5">
        <f>STDEV(Cumulative_rate_figures!C3:C10)/SQRT(COUNT(Cumulative_rate_figures!C3:C10))</f>
        <v>1.6213104319456511</v>
      </c>
    </row>
    <row r="6" spans="1:4" x14ac:dyDescent="0.2">
      <c r="A6" t="s">
        <v>92</v>
      </c>
      <c r="B6">
        <v>1</v>
      </c>
      <c r="C6">
        <f>AVERAGE(Cumulative_rate_figures!C11:C18)</f>
        <v>32.422439034663377</v>
      </c>
      <c r="D6">
        <f>STDEV(Cumulative_rate_figures!C11:C18)/SQRT(COUNT(Cumulative_rate_figures!C11:C18))</f>
        <v>2.5869464558500295</v>
      </c>
    </row>
    <row r="7" spans="1:4" x14ac:dyDescent="0.2">
      <c r="A7" t="s">
        <v>93</v>
      </c>
      <c r="B7">
        <v>1</v>
      </c>
      <c r="C7">
        <f>AVERAGE(Cumulative_rate_figures!C19:C26)</f>
        <v>69.235349470940918</v>
      </c>
      <c r="D7">
        <f>STDEV(Cumulative_rate_figures!C19:C26)/SQRT(COUNT(Cumulative_rate_figures!C19:C26))</f>
        <v>5.2489745913681887</v>
      </c>
    </row>
    <row r="8" spans="1:4" x14ac:dyDescent="0.2">
      <c r="A8" t="s">
        <v>87</v>
      </c>
      <c r="B8">
        <v>2</v>
      </c>
      <c r="C8">
        <f>AVERAGE(Cumulative_rate_figures!D3:D10)</f>
        <v>17.276529035761914</v>
      </c>
      <c r="D8">
        <f>STDEV(Cumulative_rate_figures!D3:D10)/SQRT(COUNT(Cumulative_rate_figures!D3:D10))</f>
        <v>2.3181106245035559</v>
      </c>
    </row>
    <row r="9" spans="1:4" x14ac:dyDescent="0.2">
      <c r="A9" t="s">
        <v>92</v>
      </c>
      <c r="B9">
        <v>2</v>
      </c>
      <c r="C9">
        <f>AVERAGE(Cumulative_rate_figures!D11:D18)</f>
        <v>59.967241914217674</v>
      </c>
      <c r="D9">
        <f>STDEV(Cumulative_rate_figures!D11:D18)/SQRT(COUNT(Cumulative_rate_figures!D11:D18))</f>
        <v>5.1453176799800753</v>
      </c>
    </row>
    <row r="10" spans="1:4" x14ac:dyDescent="0.2">
      <c r="A10" t="s">
        <v>93</v>
      </c>
      <c r="B10">
        <v>2</v>
      </c>
      <c r="C10">
        <f>AVERAGE(Cumulative_rate_figures!D19:D26)</f>
        <v>93.072591087232439</v>
      </c>
      <c r="D10">
        <f>STDEV(Cumulative_rate_figures!D19:D26)/SQRT(COUNT(Cumulative_rate_figures!D19:D26))</f>
        <v>5.6319713701373226</v>
      </c>
    </row>
    <row r="11" spans="1:4" x14ac:dyDescent="0.2">
      <c r="A11" t="s">
        <v>87</v>
      </c>
      <c r="B11">
        <v>4</v>
      </c>
      <c r="C11">
        <f>AVERAGE(Cumulative_rate_figures!E3:E10)</f>
        <v>20.641260689769663</v>
      </c>
      <c r="D11">
        <f>STDEV(Cumulative_rate_figures!E3:E10)/SQRT(COUNT(Cumulative_rate_figures!E3:E10))</f>
        <v>2.8361689147850768</v>
      </c>
    </row>
    <row r="12" spans="1:4" x14ac:dyDescent="0.2">
      <c r="A12" t="s">
        <v>92</v>
      </c>
      <c r="B12">
        <v>4</v>
      </c>
      <c r="C12">
        <f>AVERAGE(Cumulative_rate_figures!E11:E18)</f>
        <v>90.616012741642948</v>
      </c>
      <c r="D12">
        <f>STDEV(Cumulative_rate_figures!E11:E18)/SQRT(COUNT(Cumulative_rate_figures!E11:E18))</f>
        <v>7.9394290894894395</v>
      </c>
    </row>
    <row r="13" spans="1:4" x14ac:dyDescent="0.2">
      <c r="A13" t="s">
        <v>93</v>
      </c>
      <c r="B13">
        <v>4</v>
      </c>
      <c r="C13">
        <f>AVERAGE(Cumulative_rate_figures!E19:E26)</f>
        <v>111.25095743303</v>
      </c>
      <c r="D13">
        <f>STDEV(Cumulative_rate_figures!E19:E26)/SQRT(COUNT(Cumulative_rate_figures!E19:E26))</f>
        <v>5.8191560756210885</v>
      </c>
    </row>
    <row r="14" spans="1:4" x14ac:dyDescent="0.2">
      <c r="A14" t="s">
        <v>87</v>
      </c>
      <c r="B14">
        <v>6</v>
      </c>
      <c r="C14">
        <f>AVERAGE(Cumulative_rate_figures!F3:F10)</f>
        <v>23.10138691454182</v>
      </c>
      <c r="D14">
        <f>STDEV(Cumulative_rate_figures!F3:F10)/SQRT(COUNT(Cumulative_rate_figures!F3:F10))</f>
        <v>3.2161112271315626</v>
      </c>
    </row>
    <row r="15" spans="1:4" x14ac:dyDescent="0.2">
      <c r="A15" t="s">
        <v>92</v>
      </c>
      <c r="B15">
        <v>6</v>
      </c>
      <c r="C15">
        <f>AVERAGE(Cumulative_rate_figures!F11:F18)</f>
        <v>121.42136293757109</v>
      </c>
      <c r="D15">
        <f>STDEV(Cumulative_rate_figures!F11:F18)/SQRT(COUNT(Cumulative_rate_figures!F11:F18))</f>
        <v>10.642320221283175</v>
      </c>
    </row>
    <row r="16" spans="1:4" x14ac:dyDescent="0.2">
      <c r="A16" t="s">
        <v>93</v>
      </c>
      <c r="B16">
        <v>6</v>
      </c>
      <c r="C16">
        <f>AVERAGE(Cumulative_rate_figures!F19:F26)</f>
        <v>124.64201266786952</v>
      </c>
      <c r="D16">
        <f>STDEV(Cumulative_rate_figures!F19:F26)/SQRT(COUNT(Cumulative_rate_figures!F19:F26))</f>
        <v>5.8270742285977359</v>
      </c>
    </row>
    <row r="17" spans="1:4" x14ac:dyDescent="0.2">
      <c r="A17" t="s">
        <v>87</v>
      </c>
      <c r="B17">
        <v>9</v>
      </c>
      <c r="C17">
        <f>AVERAGE(Cumulative_rate_figures!G3:G10)</f>
        <v>25.888542225033689</v>
      </c>
      <c r="D17">
        <f>STDEV(Cumulative_rate_figures!G3:G10)/SQRT(COUNT(Cumulative_rate_figures!G3:G10))</f>
        <v>3.7239981581711952</v>
      </c>
    </row>
    <row r="18" spans="1:4" x14ac:dyDescent="0.2">
      <c r="A18" t="s">
        <v>92</v>
      </c>
      <c r="B18">
        <v>9</v>
      </c>
      <c r="C18">
        <f>AVERAGE(Cumulative_rate_figures!G11:G18)</f>
        <v>174.43837793627648</v>
      </c>
      <c r="D18">
        <f>STDEV(Cumulative_rate_figures!G11:G18)/SQRT(COUNT(Cumulative_rate_figures!G11:G18))</f>
        <v>16.338561789625452</v>
      </c>
    </row>
    <row r="19" spans="1:4" x14ac:dyDescent="0.2">
      <c r="A19" t="s">
        <v>93</v>
      </c>
      <c r="B19">
        <v>9</v>
      </c>
      <c r="C19">
        <f>AVERAGE(Cumulative_rate_figures!G19:G26)</f>
        <v>138.4941627749607</v>
      </c>
      <c r="D19">
        <f>STDEV(Cumulative_rate_figures!G19:G26)/SQRT(COUNT(Cumulative_rate_figures!G19:G26))</f>
        <v>5.9995631355016235</v>
      </c>
    </row>
    <row r="20" spans="1:4" x14ac:dyDescent="0.2">
      <c r="A20" s="17" t="s">
        <v>87</v>
      </c>
      <c r="B20">
        <v>12</v>
      </c>
      <c r="C20">
        <f>AVERAGE(Cumulative_rate_figures!H3:H10)</f>
        <v>27.328298731254765</v>
      </c>
      <c r="D20">
        <f>STDEV(Cumulative_rate_figures!H3:H10)/SQRT(COUNT(Cumulative_rate_figures!H3:H10))</f>
        <v>3.9686149915790168</v>
      </c>
    </row>
    <row r="21" spans="1:4" x14ac:dyDescent="0.2">
      <c r="A21" s="17" t="s">
        <v>92</v>
      </c>
      <c r="B21">
        <v>12</v>
      </c>
      <c r="C21">
        <f>AVERAGE(Cumulative_rate_figures!H11:H18)</f>
        <v>195.72876014554072</v>
      </c>
      <c r="D21">
        <f>STDEV(Cumulative_rate_figures!H11:H18)/SQRT(COUNT(Cumulative_rate_figures!H11:H18))</f>
        <v>18.617663786719362</v>
      </c>
    </row>
    <row r="22" spans="1:4" x14ac:dyDescent="0.2">
      <c r="A22" s="17" t="s">
        <v>93</v>
      </c>
      <c r="B22">
        <v>12</v>
      </c>
      <c r="C22">
        <f>AVERAGE(Cumulative_rate_figures!H19:H26)</f>
        <v>147.18264787445514</v>
      </c>
      <c r="D22">
        <f>STDEV(Cumulative_rate_figures!H19:H26)/SQRT(COUNT(Cumulative_rate_figures!H19:H26))</f>
        <v>5.5948941170888231</v>
      </c>
    </row>
    <row r="23" spans="1:4" x14ac:dyDescent="0.2">
      <c r="A23" s="17" t="s">
        <v>87</v>
      </c>
      <c r="B23">
        <v>14</v>
      </c>
      <c r="C23">
        <f>AVERAGE(Cumulative_rate_figures!I3:I10)</f>
        <v>29.206904960058768</v>
      </c>
      <c r="D23">
        <f>STDEV(Cumulative_rate_figures!I3:I10)/SQRT(COUNT(Cumulative_rate_figures!I3:I10))</f>
        <v>4.2930450446178208</v>
      </c>
    </row>
    <row r="24" spans="1:4" x14ac:dyDescent="0.2">
      <c r="A24" s="17" t="s">
        <v>92</v>
      </c>
      <c r="B24">
        <v>14</v>
      </c>
      <c r="C24">
        <f>AVERAGE(Cumulative_rate_figures!I11:I18)</f>
        <v>217.08613488133608</v>
      </c>
      <c r="D24">
        <f>STDEV(Cumulative_rate_figures!I11:I18)/SQRT(COUNT(Cumulative_rate_figures!I11:I18))</f>
        <v>21.090329153045232</v>
      </c>
    </row>
    <row r="25" spans="1:4" x14ac:dyDescent="0.2">
      <c r="A25" s="17" t="s">
        <v>93</v>
      </c>
      <c r="B25">
        <v>14</v>
      </c>
      <c r="C25">
        <f>AVERAGE(Cumulative_rate_figures!I19:I26)</f>
        <v>156.39677818297815</v>
      </c>
      <c r="D25" s="49">
        <f>STDEV(Cumulative_rate_figures!I19:I26)/SQRT(COUNT(Cumulative_rate_figures!I19:I26))</f>
        <v>5.5001593094254293</v>
      </c>
    </row>
    <row r="26" spans="1:4" x14ac:dyDescent="0.2">
      <c r="A26" s="17" t="s">
        <v>87</v>
      </c>
      <c r="B26">
        <v>19</v>
      </c>
      <c r="C26">
        <f>AVERAGE(Cumulative_rate_figures!J3:J10)</f>
        <v>33.278370788478526</v>
      </c>
      <c r="D26">
        <f>STDEV(Cumulative_rate_figures!J3:J10)/SQRT(COUNT(Cumulative_rate_figures!J3:J10))</f>
        <v>4.8110147466503266</v>
      </c>
    </row>
    <row r="27" spans="1:4" x14ac:dyDescent="0.2">
      <c r="A27" s="17" t="s">
        <v>92</v>
      </c>
      <c r="B27">
        <v>19</v>
      </c>
      <c r="C27">
        <f>AVERAGE(Cumulative_rate_figures!J11:J18)</f>
        <v>287.01782583983254</v>
      </c>
      <c r="D27">
        <f>STDEV(Cumulative_rate_figures!J11:J18)/SQRT(COUNT(Cumulative_rate_figures!J11:J18))</f>
        <v>50.066545885642405</v>
      </c>
    </row>
    <row r="28" spans="1:4" x14ac:dyDescent="0.2">
      <c r="A28" s="17" t="s">
        <v>93</v>
      </c>
      <c r="B28">
        <v>19</v>
      </c>
      <c r="C28">
        <f>AVERAGE(Cumulative_rate_figures!J19:J26)</f>
        <v>171.07941106978802</v>
      </c>
      <c r="D28">
        <f>STDEV(Cumulative_rate_figures!J19:J26)/SQRT(COUNT(Cumulative_rate_figures!J19:J26))</f>
        <v>5.9242569149733599</v>
      </c>
    </row>
    <row r="29" spans="1:4" x14ac:dyDescent="0.2">
      <c r="A29" s="17" t="s">
        <v>87</v>
      </c>
      <c r="B29">
        <v>26</v>
      </c>
      <c r="C29">
        <f>AVERAGE(Cumulative_rate_figures!K3:K10)</f>
        <v>47.729323833432701</v>
      </c>
      <c r="D29">
        <f>STDEV(Cumulative_rate_figures!K3:K10)/SQRT(COUNT(Cumulative_rate_figures!K3:K10))</f>
        <v>7.3886922042904839</v>
      </c>
    </row>
    <row r="30" spans="1:4" x14ac:dyDescent="0.2">
      <c r="A30" s="17" t="s">
        <v>92</v>
      </c>
      <c r="B30">
        <v>26</v>
      </c>
      <c r="C30">
        <f>AVERAGE(Cumulative_rate_figures!K11:K18)</f>
        <v>360.11561603604451</v>
      </c>
      <c r="D30">
        <f>STDEV(Cumulative_rate_figures!K11:K18)/SQRT(COUNT(Cumulative_rate_figures!K11:K18))</f>
        <v>67.438034454333064</v>
      </c>
    </row>
    <row r="31" spans="1:4" x14ac:dyDescent="0.2">
      <c r="A31" s="17" t="s">
        <v>93</v>
      </c>
      <c r="B31">
        <v>26</v>
      </c>
      <c r="C31">
        <f>AVERAGE(Cumulative_rate_figures!K19:K26)</f>
        <v>193.51946538133848</v>
      </c>
      <c r="D31">
        <f>STDEV(Cumulative_rate_figures!K19:K26)/SQRT(COUNT(Cumulative_rate_figures!K19:K26))</f>
        <v>7.5518519500693637</v>
      </c>
    </row>
    <row r="32" spans="1:4" x14ac:dyDescent="0.2">
      <c r="A32" s="17" t="s">
        <v>87</v>
      </c>
      <c r="B32">
        <v>30</v>
      </c>
      <c r="C32">
        <f>AVERAGE(Cumulative_rate_figures!L3:L10)</f>
        <v>63.280966611988298</v>
      </c>
      <c r="D32">
        <f>STDEV(Cumulative_rate_figures!L3:L10)/SQRT(COUNT(Cumulative_rate_figures!L3:L10))</f>
        <v>9.9122218313347812</v>
      </c>
    </row>
    <row r="33" spans="1:4" x14ac:dyDescent="0.2">
      <c r="A33" s="17" t="s">
        <v>92</v>
      </c>
      <c r="B33">
        <v>30</v>
      </c>
      <c r="C33">
        <f>AVERAGE(Cumulative_rate_figures!$L$11:$L$18)</f>
        <v>399.54090775177087</v>
      </c>
      <c r="D33">
        <f>STDEV(Cumulative_rate_figures!L11:L18)/SQRT(COUNT(Cumulative_rate_figures!L11:L18))</f>
        <v>71.891232160407611</v>
      </c>
    </row>
    <row r="34" spans="1:4" x14ac:dyDescent="0.2">
      <c r="A34" s="17" t="s">
        <v>93</v>
      </c>
      <c r="B34">
        <v>30</v>
      </c>
      <c r="C34">
        <f>AVERAGE(Cumulative_rate_figures!$L$19:$L$26)</f>
        <v>216.29812812575267</v>
      </c>
      <c r="D34">
        <f>STDEV(Cumulative_rate_figures!L19:L26)/SQRT(COUNT(Cumulative_rate_figures!L19:L26))</f>
        <v>9.958956358260604</v>
      </c>
    </row>
    <row r="35" spans="1:4" x14ac:dyDescent="0.2">
      <c r="A35" s="17" t="s">
        <v>87</v>
      </c>
      <c r="B35">
        <v>36</v>
      </c>
      <c r="C35">
        <f>AVERAGE(Cumulative_rate_figures!$M$3:$M$10)</f>
        <v>81.361964307369817</v>
      </c>
      <c r="D35">
        <f>STDEV(Cumulative_rate_figures!M3:M10)/SQRT(COUNT(Cumulative_rate_figures!M3:M10))</f>
        <v>10.584663040365747</v>
      </c>
    </row>
    <row r="36" spans="1:4" x14ac:dyDescent="0.2">
      <c r="A36" s="17" t="s">
        <v>92</v>
      </c>
      <c r="B36">
        <v>36</v>
      </c>
      <c r="C36">
        <f>AVERAGE(Cumulative_rate_figures!$M$11:$M$18)</f>
        <v>476.8647273998339</v>
      </c>
      <c r="D36">
        <f>STDEV(Cumulative_rate_figures!M11:M18)/SQRT(COUNT(Cumulative_rate_figures!M11:M18))</f>
        <v>78.713718943663153</v>
      </c>
    </row>
    <row r="37" spans="1:4" x14ac:dyDescent="0.2">
      <c r="A37" s="17" t="s">
        <v>93</v>
      </c>
      <c r="B37">
        <v>36</v>
      </c>
      <c r="C37">
        <f>AVERAGE(Cumulative_rate_figures!$M$19:$M$26)</f>
        <v>246.00926622323269</v>
      </c>
      <c r="D37">
        <f>STDEV(Cumulative_rate_figures!M19:M26)/SQRT(COUNT(Cumulative_rate_figures!M19:M26))</f>
        <v>15.026226201829537</v>
      </c>
    </row>
    <row r="38" spans="1:4" x14ac:dyDescent="0.2">
      <c r="A38" s="17" t="s">
        <v>87</v>
      </c>
      <c r="B38">
        <v>44</v>
      </c>
      <c r="C38">
        <f>AVERAGE(Cumulative_rate_figures!$N$3:$N$10)</f>
        <v>99.525798864297826</v>
      </c>
      <c r="D38">
        <f>STDEV(Cumulative_rate_figures!N3:N10)/SQRT(COUNT(Cumulative_rate_figures!N3:N10))</f>
        <v>10.338367781071286</v>
      </c>
    </row>
    <row r="39" spans="1:4" x14ac:dyDescent="0.2">
      <c r="A39" s="17" t="s">
        <v>92</v>
      </c>
      <c r="B39">
        <v>44</v>
      </c>
      <c r="C39">
        <f>AVERAGE(Cumulative_rate_figures!$N$11:$N$18)</f>
        <v>566.15943490473035</v>
      </c>
      <c r="D39">
        <f>STDEV(Cumulative_rate_figures!N11:N18)/SQRT(COUNT(Cumulative_rate_figures!N11:N18))</f>
        <v>91.903471396379814</v>
      </c>
    </row>
    <row r="40" spans="1:4" x14ac:dyDescent="0.2">
      <c r="A40" s="17" t="s">
        <v>93</v>
      </c>
      <c r="B40">
        <v>44</v>
      </c>
      <c r="C40">
        <f>AVERAGE(Cumulative_rate_figures!$N$19:$N$26)</f>
        <v>283.95777956801555</v>
      </c>
      <c r="D40">
        <f>STDEV(Cumulative_rate_figures!N19:N26)/SQRT(COUNT(Cumulative_rate_figures!N19:N26))</f>
        <v>22.225906426335634</v>
      </c>
    </row>
    <row r="41" spans="1:4" x14ac:dyDescent="0.2">
      <c r="A41" s="17" t="s">
        <v>87</v>
      </c>
      <c r="B41">
        <v>51</v>
      </c>
      <c r="C41">
        <f>AVERAGE(Cumulative_rate_figures!$O$3:$O$10)</f>
        <v>110.47253189221911</v>
      </c>
      <c r="D41">
        <f>STDEV(Cumulative_rate_figures!O3:O10)/SQRT(COUNT(Cumulative_rate_figures!O3:O10))</f>
        <v>10.417984168489882</v>
      </c>
    </row>
    <row r="42" spans="1:4" x14ac:dyDescent="0.2">
      <c r="A42" s="17" t="s">
        <v>92</v>
      </c>
      <c r="B42">
        <v>51</v>
      </c>
      <c r="C42">
        <f>AVERAGE(Cumulative_rate_figures!$O$11:$O$18)</f>
        <v>641.33110737736683</v>
      </c>
      <c r="D42">
        <f>STDEV(Cumulative_rate_figures!O11:O18)/SQRT(COUNT(Cumulative_rate_figures!O11:O18))</f>
        <v>102.20077114765181</v>
      </c>
    </row>
    <row r="43" spans="1:4" x14ac:dyDescent="0.2">
      <c r="A43" s="17" t="s">
        <v>93</v>
      </c>
      <c r="B43">
        <v>51</v>
      </c>
      <c r="C43">
        <f>AVERAGE(Cumulative_rate_figures!$O$19:$O$26)</f>
        <v>325.43133409765483</v>
      </c>
      <c r="D43">
        <f>STDEV(Cumulative_rate_figures!O19:O26)/SQRT(COUNT(Cumulative_rate_figures!O19:O26))</f>
        <v>29.703641958242486</v>
      </c>
    </row>
    <row r="44" spans="1:4" x14ac:dyDescent="0.2">
      <c r="A44" s="17" t="s">
        <v>87</v>
      </c>
      <c r="B44">
        <v>58</v>
      </c>
      <c r="C44">
        <f>AVERAGE(Cumulative_rate_figures!$P$3:$P$10)</f>
        <v>118.30771346939034</v>
      </c>
      <c r="D44">
        <f>STDEV(Cumulative_rate_figures!P3:P10)/SQRT(COUNT(Cumulative_rate_figures!P3:P10))</f>
        <v>10.776542802477479</v>
      </c>
    </row>
    <row r="45" spans="1:4" x14ac:dyDescent="0.2">
      <c r="A45" s="17" t="s">
        <v>92</v>
      </c>
      <c r="B45">
        <v>58</v>
      </c>
      <c r="C45">
        <f>AVERAGE(Cumulative_rate_figures!$P$11:$P$18)</f>
        <v>713.30783483003256</v>
      </c>
      <c r="D45">
        <f>STDEV(Cumulative_rate_figures!P11:P18)/SQRT(COUNT(Cumulative_rate_figures!P11:P18))</f>
        <v>110.45635157857927</v>
      </c>
    </row>
    <row r="46" spans="1:4" x14ac:dyDescent="0.2">
      <c r="A46" s="17" t="s">
        <v>93</v>
      </c>
      <c r="B46">
        <v>58</v>
      </c>
      <c r="C46">
        <f>AVERAGE(Cumulative_rate_figures!$P$19:$P$26)</f>
        <v>366.3816360863741</v>
      </c>
      <c r="D46">
        <f>STDEV(Cumulative_rate_figures!P19:P26)/SQRT(COUNT(Cumulative_rate_figures!P19:P26))</f>
        <v>39.319146263913495</v>
      </c>
    </row>
    <row r="47" spans="1:4" x14ac:dyDescent="0.2">
      <c r="A47" s="17" t="s">
        <v>87</v>
      </c>
      <c r="B47">
        <v>65</v>
      </c>
      <c r="C47">
        <f>AVERAGE(Cumulative_rate_figures!$Q$3:$Q$10)</f>
        <v>124.67638374598521</v>
      </c>
      <c r="D47">
        <f>STDEV(Cumulative_rate_figures!Q3:Q10)/SQRT(COUNT(Cumulative_rate_figures!Q3:Q10))</f>
        <v>11.353065442005281</v>
      </c>
    </row>
    <row r="48" spans="1:4" x14ac:dyDescent="0.2">
      <c r="A48" s="17" t="s">
        <v>92</v>
      </c>
      <c r="B48">
        <v>65</v>
      </c>
      <c r="C48">
        <f>AVERAGE(Cumulative_rate_figures!$Q$11:$Q$19)</f>
        <v>761.21347177558846</v>
      </c>
      <c r="D48">
        <f>STDEV(Cumulative_rate_figures!Q11:Q19)/SQRT(COUNT(Cumulative_rate_figures!Q11:Q19))</f>
        <v>105.70694912501527</v>
      </c>
    </row>
    <row r="49" spans="1:4" x14ac:dyDescent="0.2">
      <c r="A49" s="17" t="s">
        <v>93</v>
      </c>
      <c r="B49">
        <v>65</v>
      </c>
      <c r="C49">
        <f>AVERAGE(Cumulative_rate_figures!$Q$19:$Q$26)</f>
        <v>414.8077093282435</v>
      </c>
      <c r="D49">
        <f>STDEV(Cumulative_rate_figures!Q19:Q26)/SQRT(COUNT(Cumulative_rate_figures!Q19:Q26))</f>
        <v>53.483326405178765</v>
      </c>
    </row>
    <row r="50" spans="1:4" x14ac:dyDescent="0.2">
      <c r="A50" s="17" t="s">
        <v>87</v>
      </c>
      <c r="B50">
        <v>74</v>
      </c>
      <c r="C50">
        <f>AVERAGE(Cumulative_rate_figures!$R$3:$R$10)</f>
        <v>131.70194110195965</v>
      </c>
      <c r="D50">
        <f>STDEV(Cumulative_rate_figures!R3:R10)/SQRT(COUNT(Cumulative_rate_figures!R3:R10))</f>
        <v>11.968164974007834</v>
      </c>
    </row>
    <row r="51" spans="1:4" x14ac:dyDescent="0.2">
      <c r="A51" s="17" t="s">
        <v>92</v>
      </c>
      <c r="B51">
        <v>74</v>
      </c>
      <c r="C51">
        <f>AVERAGE(Cumulative_rate_figures!$R$11:$R$19)</f>
        <v>844.39703394891853</v>
      </c>
      <c r="D51">
        <f>STDEV(Cumulative_rate_figures!R11:R19)/SQRT(COUNT(Cumulative_rate_figures!R11:R19))</f>
        <v>112.72481308874262</v>
      </c>
    </row>
    <row r="52" spans="1:4" x14ac:dyDescent="0.2">
      <c r="A52" s="17" t="s">
        <v>93</v>
      </c>
      <c r="B52">
        <v>74</v>
      </c>
      <c r="C52">
        <f>AVERAGE(Cumulative_rate_figures!$R$19:$R$26)</f>
        <v>476.52449183948033</v>
      </c>
      <c r="D52">
        <f>STDEV(Cumulative_rate_figures!R19:R26)/SQRT(COUNT(Cumulative_rate_figures!R19:R26))</f>
        <v>69.800288748394408</v>
      </c>
    </row>
    <row r="53" spans="1:4" x14ac:dyDescent="0.2">
      <c r="A53" s="17" t="s">
        <v>87</v>
      </c>
      <c r="B53">
        <v>83</v>
      </c>
      <c r="C53">
        <f>AVERAGE(Cumulative_rate_figures!$S$3:$S$10)</f>
        <v>138.71606126456803</v>
      </c>
      <c r="D53">
        <f>STDEV(Cumulative_rate_figures!S3:S10)/SQRT(COUNT(Cumulative_rate_figures!S3:S10))</f>
        <v>12.674962136907991</v>
      </c>
    </row>
    <row r="54" spans="1:4" x14ac:dyDescent="0.2">
      <c r="A54" s="17" t="s">
        <v>92</v>
      </c>
      <c r="B54">
        <v>83</v>
      </c>
      <c r="C54">
        <f>AVERAGE(Cumulative_rate_figures!$S$11:$S$18)</f>
        <v>935.73489279946978</v>
      </c>
      <c r="D54">
        <f>STDEV(Cumulative_rate_figures!S11:S18)/SQRT(COUNT(Cumulative_rate_figures!S11:S18))</f>
        <v>140.5759118197515</v>
      </c>
    </row>
    <row r="55" spans="1:4" x14ac:dyDescent="0.2">
      <c r="A55" s="17" t="s">
        <v>93</v>
      </c>
      <c r="B55">
        <v>83</v>
      </c>
      <c r="C55">
        <f>AVERAGE(Cumulative_rate_figures!$S$19:$S$26)</f>
        <v>540.51130389070033</v>
      </c>
      <c r="D55">
        <f>STDEV(Cumulative_rate_figures!S19:S26)/SQRT(COUNT(Cumulative_rate_figures!S19:S26))</f>
        <v>83.033895595016659</v>
      </c>
    </row>
    <row r="56" spans="1:4" x14ac:dyDescent="0.2">
      <c r="A56" s="17" t="s">
        <v>87</v>
      </c>
      <c r="B56">
        <v>92</v>
      </c>
      <c r="C56">
        <f>AVERAGE(Cumulative_rate_figures!$T$3:$T$10)</f>
        <v>146.69422812243278</v>
      </c>
      <c r="D56">
        <f>STDEV(Cumulative_rate_figures!T3:T10)/SQRT(COUNT(Cumulative_rate_figures!T3:T10))</f>
        <v>14.068614690295338</v>
      </c>
    </row>
    <row r="57" spans="1:4" x14ac:dyDescent="0.2">
      <c r="A57" s="17" t="s">
        <v>92</v>
      </c>
      <c r="B57">
        <v>92</v>
      </c>
      <c r="C57">
        <f>AVERAGE(Cumulative_rate_figures!$T$11:$T$18)</f>
        <v>1011.4269282157101</v>
      </c>
      <c r="D57">
        <f>STDEV(Cumulative_rate_figures!T11:T18)/SQRT(COUNT(Cumulative_rate_figures!T11:T18))</f>
        <v>149.87665446562764</v>
      </c>
    </row>
    <row r="58" spans="1:4" x14ac:dyDescent="0.2">
      <c r="A58" s="17" t="s">
        <v>93</v>
      </c>
      <c r="B58">
        <v>92</v>
      </c>
      <c r="C58">
        <f>AVERAGE(Cumulative_rate_figures!$T$19:$T$26)</f>
        <v>603.61352409478968</v>
      </c>
      <c r="D58">
        <f>STDEV(Cumulative_rate_figures!T19:T26)/SQRT(COUNT(Cumulative_rate_figures!T19:T26))</f>
        <v>90.015605085744426</v>
      </c>
    </row>
    <row r="59" spans="1:4" x14ac:dyDescent="0.2">
      <c r="A59" s="17" t="s">
        <v>87</v>
      </c>
      <c r="B59">
        <v>96</v>
      </c>
      <c r="C59">
        <f>AVERAGE(Cumulative_rate_figures!$U$3:$U$10)</f>
        <v>150.65020782754925</v>
      </c>
      <c r="D59">
        <f>STDEV(Cumulative_rate_figures!U3:U10)/SQRT(COUNT(Cumulative_rate_figures!U3:U10))</f>
        <v>14.539007937050457</v>
      </c>
    </row>
    <row r="60" spans="1:4" x14ac:dyDescent="0.2">
      <c r="A60" s="17" t="s">
        <v>92</v>
      </c>
      <c r="B60">
        <v>96</v>
      </c>
      <c r="C60">
        <f>AVERAGE(Cumulative_rate_figures!$U$11:$U$18)</f>
        <v>1054.7847939792307</v>
      </c>
      <c r="D60">
        <f>STDEV(Cumulative_rate_figures!U11:U18)/SQRT(COUNT(Cumulative_rate_figures!U11:U18))</f>
        <v>154.08027883188356</v>
      </c>
    </row>
    <row r="61" spans="1:4" x14ac:dyDescent="0.2">
      <c r="A61" s="17" t="s">
        <v>93</v>
      </c>
      <c r="B61">
        <v>96</v>
      </c>
      <c r="C61">
        <f>AVERAGE(Cumulative_rate_figures!$U$19:$U$26)</f>
        <v>633.86141459444605</v>
      </c>
      <c r="D61">
        <f>STDEV(Cumulative_rate_figures!U19:U26)/SQRT(COUNT(Cumulative_rate_figures!U19:U26))</f>
        <v>92.657811686392833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Calculations</vt:lpstr>
      <vt:lpstr>Vol_soil_calc</vt:lpstr>
      <vt:lpstr>TC</vt:lpstr>
      <vt:lpstr>Per_hour_RATE_Summary</vt:lpstr>
      <vt:lpstr>Per_hour_RATE_Summary_figs</vt:lpstr>
      <vt:lpstr>Cumulative_Resp_rate</vt:lpstr>
      <vt:lpstr>Cumulative_rate_avgs_core</vt:lpstr>
      <vt:lpstr>Cumulative_rate_figures</vt:lpstr>
      <vt:lpstr>Cumulative_avg_site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J. Doherty</dc:creator>
  <cp:lastModifiedBy>O'Brien, Joy Michaela</cp:lastModifiedBy>
  <dcterms:created xsi:type="dcterms:W3CDTF">2019-07-22T12:36:36Z</dcterms:created>
  <dcterms:modified xsi:type="dcterms:W3CDTF">2023-10-25T17:11:13Z</dcterms:modified>
</cp:coreProperties>
</file>