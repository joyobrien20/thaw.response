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thaw.response/Data/"/>
    </mc:Choice>
  </mc:AlternateContent>
  <xr:revisionPtr revIDLastSave="0" documentId="13_ncr:1_{01F3D07E-1B0E-EC40-B8A6-89564BD2C4D3}" xr6:coauthVersionLast="47" xr6:coauthVersionMax="47" xr10:uidLastSave="{00000000-0000-0000-0000-000000000000}"/>
  <bookViews>
    <workbookView xWindow="57160" yWindow="8320" windowWidth="27640" windowHeight="16940" activeTab="6" xr2:uid="{4EF39CB8-B893-9843-812C-94FEE9DD1B65}"/>
  </bookViews>
  <sheets>
    <sheet name="Respiration_cum" sheetId="1" r:id="rId1"/>
    <sheet name="pH" sheetId="2" r:id="rId2"/>
    <sheet name="EC" sheetId="4" r:id="rId3"/>
    <sheet name="GWC" sheetId="5" r:id="rId4"/>
    <sheet name="TC_TN" sheetId="6" r:id="rId5"/>
    <sheet name="Resp_TC_TN" sheetId="7" r:id="rId6"/>
    <sheet name="copynumber_all" sheetId="9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tc={DACE3F27-B897-C648-B388-0CF984198525}</author>
    <author>tc={9F6F02C2-7A28-4C4E-8A76-130AAD2E03B8}</author>
  </authors>
  <commentList>
    <comment ref="A1" authorId="0" shapeId="0" xr:uid="{DACE3F27-B897-C648-B388-0CF984198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NOTE: AT3_R7 WAS REMOVED BECAUSE IT WAS NOT AMPLIFIED IN QPCR, DNA CONCENTRATION WAY TOO LOW FOR AMPLIFICATION </t>
      </text>
    </comment>
    <comment ref="A13" authorId="1" shapeId="0" xr:uid="{9F6F02C2-7A28-4C4E-8A76-130AAD2E03B8}">
      <text>
        <t>[Threaded comment]
Your version of Excel allows you to read this threaded comment; however, any edits to it will get removed if the file is opened in a newer version of Excel. Learn more: https://go.microsoft.com/fwlink/?linkid=870924
Comment:
    delete?</t>
      </text>
    </comment>
  </commentList>
</comments>
</file>

<file path=xl/sharedStrings.xml><?xml version="1.0" encoding="utf-8"?>
<sst xmlns="http://schemas.openxmlformats.org/spreadsheetml/2006/main" count="476" uniqueCount="140">
  <si>
    <t>Sample_ID</t>
  </si>
  <si>
    <t>Cumulative_Respiration</t>
  </si>
  <si>
    <t>site</t>
  </si>
  <si>
    <t>core</t>
  </si>
  <si>
    <t>AT3_R5</t>
  </si>
  <si>
    <t>CRREL</t>
  </si>
  <si>
    <t>AT3</t>
  </si>
  <si>
    <t>AT3_R6</t>
  </si>
  <si>
    <t>AT3_R7</t>
  </si>
  <si>
    <t>AT3_R8</t>
  </si>
  <si>
    <t>AT4_R5</t>
  </si>
  <si>
    <t>AT4</t>
  </si>
  <si>
    <t>AT4_R6</t>
  </si>
  <si>
    <t>AT4_R7</t>
  </si>
  <si>
    <t>AT4_R8</t>
  </si>
  <si>
    <t>FL1C4_R5</t>
  </si>
  <si>
    <t>FL</t>
  </si>
  <si>
    <t>FL1</t>
  </si>
  <si>
    <t>FL1C4_R6</t>
  </si>
  <si>
    <t>FL1C4_R7</t>
  </si>
  <si>
    <t>FL1C4_R8</t>
  </si>
  <si>
    <t>FL2C3_R5</t>
  </si>
  <si>
    <t>FL2</t>
  </si>
  <si>
    <t>FL2C3_R6</t>
  </si>
  <si>
    <t>FL2C3_R7</t>
  </si>
  <si>
    <t>FL2C3_R8</t>
  </si>
  <si>
    <t>BEO1_R5</t>
  </si>
  <si>
    <t>Utqiagvik</t>
  </si>
  <si>
    <t>BEO1</t>
  </si>
  <si>
    <t>BEO1_R6</t>
  </si>
  <si>
    <t>BEO1_R7</t>
  </si>
  <si>
    <t>BEO1_R8</t>
  </si>
  <si>
    <t>BEO2B_R5</t>
  </si>
  <si>
    <t>BEO2</t>
  </si>
  <si>
    <t>BEO2B_R6</t>
  </si>
  <si>
    <t>BEO2B_R7</t>
  </si>
  <si>
    <t>BEO2B_R8</t>
  </si>
  <si>
    <t>pre_post_thaw</t>
  </si>
  <si>
    <t>pre</t>
  </si>
  <si>
    <t>FL1C4</t>
  </si>
  <si>
    <t>FL2C3</t>
  </si>
  <si>
    <t>BEO2B</t>
  </si>
  <si>
    <t>pH</t>
  </si>
  <si>
    <t>post</t>
  </si>
  <si>
    <t>EC</t>
  </si>
  <si>
    <t>GWC</t>
  </si>
  <si>
    <t>C</t>
  </si>
  <si>
    <t>N</t>
  </si>
  <si>
    <t>sample_name</t>
  </si>
  <si>
    <t>sample</t>
  </si>
  <si>
    <t>sample_ID</t>
  </si>
  <si>
    <t>copy_numb</t>
  </si>
  <si>
    <t>1_S72_L002</t>
  </si>
  <si>
    <t>AT3_R5_POST_SOIL</t>
  </si>
  <si>
    <t>2_S73_L002</t>
  </si>
  <si>
    <t>AT3_R6_POST_SOIL</t>
  </si>
  <si>
    <t>4_S75_L002</t>
  </si>
  <si>
    <t>AT3_R8_POST_SOIL</t>
  </si>
  <si>
    <t>5_S76_L002</t>
  </si>
  <si>
    <t>AT4_R5_POST_SOIL</t>
  </si>
  <si>
    <t>6_S77_L002</t>
  </si>
  <si>
    <t>AT4_R6_POST_SOIL</t>
  </si>
  <si>
    <t>7_S78_L002</t>
  </si>
  <si>
    <t>AT4_R7_POST_SOIL</t>
  </si>
  <si>
    <t>8_S79_L002</t>
  </si>
  <si>
    <t>AT4_R8_POST_SOIL</t>
  </si>
  <si>
    <t>9_S80_L002</t>
  </si>
  <si>
    <t>FL1C4_R5_POST_SOIL</t>
  </si>
  <si>
    <t>10_S81_L002</t>
  </si>
  <si>
    <t>FL1C4_R6_POST_SOIL</t>
  </si>
  <si>
    <t>11_S82_L002</t>
  </si>
  <si>
    <t>FL1C4_R7_POST_SOIL</t>
  </si>
  <si>
    <t>13_S84_L002</t>
  </si>
  <si>
    <t>FL2C3_R5_POST_SOIL</t>
  </si>
  <si>
    <t>14_S85_L002</t>
  </si>
  <si>
    <t>FL2C3_R6_POST_SOIL</t>
  </si>
  <si>
    <t>15_S86_L002</t>
  </si>
  <si>
    <t>FL2C3_R7_POST_SOIL</t>
  </si>
  <si>
    <t>16_S87_L002</t>
  </si>
  <si>
    <t>FL2C3_R8_POST_SOIL</t>
  </si>
  <si>
    <t>17_S88_L002</t>
  </si>
  <si>
    <t>BEO1_R5_POST_SOIL</t>
  </si>
  <si>
    <t>18_S89_L002</t>
  </si>
  <si>
    <t>BEO1_R6_POST_SOIL</t>
  </si>
  <si>
    <t>19_S90_L002</t>
  </si>
  <si>
    <t>BEO1_R7_POST_SOIL</t>
  </si>
  <si>
    <t>20_S91_L002</t>
  </si>
  <si>
    <t>BEO1_R8_POST_SOIL</t>
  </si>
  <si>
    <t>21_S92_L002</t>
  </si>
  <si>
    <t>BEO2B_R5_POST_SOIL</t>
  </si>
  <si>
    <t>22_S93_L002</t>
  </si>
  <si>
    <t>BEO2B_R6_POST_SOIL</t>
  </si>
  <si>
    <t>23_S94_L002</t>
  </si>
  <si>
    <t>BEO2B_R7_POST_SOIL</t>
  </si>
  <si>
    <t>24_S95_L002</t>
  </si>
  <si>
    <t>BEO2B_R8_POST_SOIL</t>
  </si>
  <si>
    <t>25_S96_L002</t>
  </si>
  <si>
    <t>AT3_R5_PRE_SOIL</t>
  </si>
  <si>
    <t>26_S97_L002</t>
  </si>
  <si>
    <t>AT3_R6_PRE_SOIL</t>
  </si>
  <si>
    <t>28_S99_L002</t>
  </si>
  <si>
    <t>AT3_R8_PRE_SOIL</t>
  </si>
  <si>
    <t>29_S100_L002</t>
  </si>
  <si>
    <t>AT4_R5_PRE_SOIL</t>
  </si>
  <si>
    <t>30_S101_L002</t>
  </si>
  <si>
    <t>AT4_R6_PRE_SOIL</t>
  </si>
  <si>
    <t>31_S102_L002</t>
  </si>
  <si>
    <t>AT4_R7_PRE_SOIL</t>
  </si>
  <si>
    <t>32_S103_L002</t>
  </si>
  <si>
    <t>AT4_R8_PRE_SOIL</t>
  </si>
  <si>
    <t>33_S104_L002</t>
  </si>
  <si>
    <t>FL1C4_R5_PRE_SOIL</t>
  </si>
  <si>
    <t>34_S105_L002</t>
  </si>
  <si>
    <t>FL1C4_R6_PRE_SOIL</t>
  </si>
  <si>
    <t>35_S106_L002</t>
  </si>
  <si>
    <t>FL1C4_R7_PRE_SOIL</t>
  </si>
  <si>
    <t>37_S108_L002</t>
  </si>
  <si>
    <t>FL2C3_R5_PRE_SOIL</t>
  </si>
  <si>
    <t>38_S109_L002</t>
  </si>
  <si>
    <t>FL2C3_R6_PRE_SOIL</t>
  </si>
  <si>
    <t>39_S110_L002</t>
  </si>
  <si>
    <t>FL2C3_R7_PRE_SOIL</t>
  </si>
  <si>
    <t>40_S111_L002</t>
  </si>
  <si>
    <t>FL2C3_R8_PRE_SOIL</t>
  </si>
  <si>
    <t>41_S112_L002</t>
  </si>
  <si>
    <t>BEO1_R5_PRE_SOIL</t>
  </si>
  <si>
    <t>42_S113_L002</t>
  </si>
  <si>
    <t>BEO1_R6_PRE_SOIL</t>
  </si>
  <si>
    <t>43_S114_L002</t>
  </si>
  <si>
    <t>BEO1_R7_PRE_SOIL</t>
  </si>
  <si>
    <t>44_S115_L002</t>
  </si>
  <si>
    <t>BEO1_R8_PRE_SOIL</t>
  </si>
  <si>
    <t>45_S116_L002</t>
  </si>
  <si>
    <t>BEO2B_R5_PRE_SOIL</t>
  </si>
  <si>
    <t>46_S117_L002</t>
  </si>
  <si>
    <t>BEO2B_R6_PRE_SOIL</t>
  </si>
  <si>
    <t>47_S118_L002</t>
  </si>
  <si>
    <t>BEO2B_R7_PRE_SOIL</t>
  </si>
  <si>
    <t>48_S119_L002</t>
  </si>
  <si>
    <t>BEO2B_R8_PRE_SOIL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</si>
</sst>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yobrien/Desktop/CO2%20rates_FINAL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yobrien/GitHub/thaw.response/Data/incubation_physical_chemical.xlsx" TargetMode="External"/><Relationship Id="rId1" Type="http://schemas.openxmlformats.org/officeDocument/2006/relationships/externalLinkPath" Target="incubation_physical_chem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s"/>
      <sheetName val="Vol_soil_calc"/>
      <sheetName val="TC"/>
      <sheetName val="RATE_Summary_figs"/>
      <sheetName val="RATE_Summary"/>
      <sheetName val="Cumulative_Re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W3">
            <v>171.89008369650165</v>
          </cell>
        </row>
        <row r="4">
          <cell r="W4">
            <v>205.07744198612698</v>
          </cell>
        </row>
        <row r="5">
          <cell r="W5">
            <v>214.40163444150238</v>
          </cell>
        </row>
        <row r="6">
          <cell r="W6">
            <v>124.88990489901849</v>
          </cell>
        </row>
        <row r="7">
          <cell r="W7">
            <v>139.74007980789909</v>
          </cell>
        </row>
        <row r="8">
          <cell r="W8">
            <v>121.39185758874287</v>
          </cell>
        </row>
        <row r="9">
          <cell r="W9">
            <v>110.6892515413398</v>
          </cell>
        </row>
        <row r="10">
          <cell r="W10">
            <v>117.12140865926288</v>
          </cell>
        </row>
        <row r="11">
          <cell r="W11">
            <v>1442.5265746141533</v>
          </cell>
        </row>
        <row r="12">
          <cell r="W12">
            <v>881.63791881753775</v>
          </cell>
        </row>
        <row r="13">
          <cell r="W13">
            <v>779.52229854206394</v>
          </cell>
        </row>
        <row r="14">
          <cell r="W14">
            <v>925.55011632702622</v>
          </cell>
        </row>
        <row r="15">
          <cell r="W15">
            <v>1393.4988740657061</v>
          </cell>
        </row>
        <row r="16">
          <cell r="W16">
            <v>1683.7254972629803</v>
          </cell>
        </row>
        <row r="17">
          <cell r="W17">
            <v>1015.1529447101592</v>
          </cell>
        </row>
        <row r="18">
          <cell r="W18">
            <v>316.66412749421841</v>
          </cell>
        </row>
        <row r="19">
          <cell r="W19">
            <v>1030.7601154429401</v>
          </cell>
        </row>
        <row r="20">
          <cell r="W20">
            <v>984.91164567110775</v>
          </cell>
        </row>
        <row r="21">
          <cell r="W21">
            <v>592.20484158173485</v>
          </cell>
        </row>
        <row r="22">
          <cell r="W22">
            <v>644.84069822908805</v>
          </cell>
        </row>
        <row r="23">
          <cell r="W23">
            <v>348.83075787470818</v>
          </cell>
        </row>
        <row r="24">
          <cell r="W24">
            <v>490.20032681084166</v>
          </cell>
        </row>
        <row r="25">
          <cell r="W25">
            <v>324.27551384446451</v>
          </cell>
        </row>
        <row r="26">
          <cell r="W26">
            <v>654.86741730068286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ubation_physical_chemical"/>
      <sheetName val="biplot_data"/>
      <sheetName val="pH_pre"/>
      <sheetName val="pH_post"/>
      <sheetName val="pH_both"/>
      <sheetName val="EC_pre"/>
      <sheetName val="EC_post"/>
      <sheetName val="EC_both"/>
      <sheetName val="GWC_both"/>
      <sheetName val="TC_TN"/>
      <sheetName val="copy_numbers"/>
      <sheetName val="copynumber_all"/>
      <sheetName val="copynumber_crrel"/>
      <sheetName val="crrel_OTU"/>
      <sheetName val="CRREL_final_absabund"/>
      <sheetName val="copynumber_FL"/>
      <sheetName val="FL_OTU"/>
      <sheetName val="FL_final_absabund"/>
      <sheetName val="copynumber_UT"/>
      <sheetName val="UT_OTU"/>
      <sheetName val="UT_final_absabund"/>
      <sheetName val="abs_abund_all"/>
      <sheetName val="copynumb_diff"/>
      <sheetName val="avg_cpynumb"/>
      <sheetName val="Respiration_cum_forcopynumb"/>
      <sheetName val="Respiration_cum"/>
      <sheetName val="Resp_TC_TN"/>
      <sheetName val="Resp_TC_TN_check"/>
      <sheetName val="DOC_TDN_post"/>
      <sheetName val="DOC_TDN_pre"/>
      <sheetName val="DOC_TDN_diff"/>
      <sheetName val="DOC_TDN_resp"/>
      <sheetName val="Tex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B2">
            <v>171.89008369650165</v>
          </cell>
        </row>
        <row r="3">
          <cell r="B3">
            <v>205.07744198612698</v>
          </cell>
        </row>
        <row r="4">
          <cell r="B4">
            <v>214.40163444150238</v>
          </cell>
        </row>
        <row r="5">
          <cell r="B5">
            <v>124.88990489901849</v>
          </cell>
        </row>
        <row r="6">
          <cell r="B6">
            <v>139.74007980789909</v>
          </cell>
        </row>
        <row r="7">
          <cell r="B7">
            <v>121.39185758874287</v>
          </cell>
        </row>
        <row r="8">
          <cell r="B8">
            <v>110.6892515413398</v>
          </cell>
        </row>
        <row r="9">
          <cell r="B9">
            <v>117.12140865926288</v>
          </cell>
        </row>
        <row r="10">
          <cell r="B10">
            <v>1442.5265746141533</v>
          </cell>
        </row>
        <row r="11">
          <cell r="B11">
            <v>881.63791881753775</v>
          </cell>
        </row>
        <row r="12">
          <cell r="B12">
            <v>779.52229854206394</v>
          </cell>
        </row>
        <row r="13">
          <cell r="B13">
            <v>925.55011632702622</v>
          </cell>
        </row>
        <row r="14">
          <cell r="B14">
            <v>1393.4988740657061</v>
          </cell>
        </row>
        <row r="15">
          <cell r="B15">
            <v>1683.7254972629803</v>
          </cell>
        </row>
        <row r="16">
          <cell r="B16">
            <v>1015.1529447101592</v>
          </cell>
        </row>
        <row r="17">
          <cell r="B17">
            <v>316.66412749421841</v>
          </cell>
        </row>
        <row r="18">
          <cell r="B18">
            <v>1030.7601154429401</v>
          </cell>
        </row>
        <row r="19">
          <cell r="B19">
            <v>984.91164567110775</v>
          </cell>
        </row>
        <row r="20">
          <cell r="B20">
            <v>592.20484158173485</v>
          </cell>
        </row>
        <row r="21">
          <cell r="B21">
            <v>644.84069822908805</v>
          </cell>
        </row>
        <row r="22">
          <cell r="B22">
            <v>348.83075787470818</v>
          </cell>
        </row>
        <row r="23">
          <cell r="B23">
            <v>490.20032681084166</v>
          </cell>
        </row>
        <row r="24">
          <cell r="B24">
            <v>324.27551384446451</v>
          </cell>
        </row>
        <row r="25">
          <cell r="B25">
            <v>654.86741730068286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1054327E-B9AA-C14D-8976-88597D589410}" userId="S::jmo1056@usnh.edu::95b1195f-a313-4a17-a865-fbf58bce22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5-10T00:04:42.13" personId="{1054327E-B9AA-C14D-8976-88597D589410}" id="{DACE3F27-B897-C648-B388-0CF984198525}">
    <text xml:space="preserve">NOTE: AT3_R7 WAS REMOVED BECAUSE IT WAS NOT AMPLIFIED IN QPCR, DNA CONCENTRATION WAY TOO LOW FOR AMPLIFICATION </text>
  </threadedComment>
  <threadedComment ref="A13" dT="2022-04-27T21:06:01.04" personId="{1054327E-B9AA-C14D-8976-88597D589410}" id="{9F6F02C2-7A28-4C4E-8A76-130AAD2E03B8}">
    <text>delete?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4860-9879-CE4D-A5F6-F1E3CC599346}">
  <dimension ref="A1:D25"/>
  <sheetViews>
    <sheetView workbookViewId="0">
      <selection sqref="A1:D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9" x14ac:dyDescent="0.25">
      <c r="A2" s="1" t="s">
        <v>4</v>
      </c>
      <c r="B2" s="2">
        <f>[1]Cumulative_Resp!W3</f>
        <v>171.89008369650165</v>
      </c>
      <c r="C2" t="s">
        <v>5</v>
      </c>
      <c r="D2" t="s">
        <v>6</v>
      </c>
    </row>
    <row r="3" spans="1:4" ht="19" x14ac:dyDescent="0.25">
      <c r="A3" s="1" t="s">
        <v>7</v>
      </c>
      <c r="B3" s="2">
        <f>[1]Cumulative_Resp!W4</f>
        <v>205.07744198612698</v>
      </c>
      <c r="C3" t="s">
        <v>5</v>
      </c>
      <c r="D3" s="2" t="s">
        <v>6</v>
      </c>
    </row>
    <row r="4" spans="1:4" ht="19" x14ac:dyDescent="0.25">
      <c r="A4" s="1" t="s">
        <v>8</v>
      </c>
      <c r="B4" s="2">
        <f>[1]Cumulative_Resp!W5</f>
        <v>214.40163444150238</v>
      </c>
      <c r="C4" t="s">
        <v>5</v>
      </c>
      <c r="D4" s="2" t="s">
        <v>6</v>
      </c>
    </row>
    <row r="5" spans="1:4" ht="19" x14ac:dyDescent="0.25">
      <c r="A5" s="1" t="s">
        <v>9</v>
      </c>
      <c r="B5" s="2">
        <f>[1]Cumulative_Resp!W6</f>
        <v>124.88990489901849</v>
      </c>
      <c r="C5" t="s">
        <v>5</v>
      </c>
      <c r="D5" s="2" t="s">
        <v>6</v>
      </c>
    </row>
    <row r="6" spans="1:4" ht="19" x14ac:dyDescent="0.25">
      <c r="A6" s="1" t="s">
        <v>10</v>
      </c>
      <c r="B6" s="2">
        <f>[1]Cumulative_Resp!W7</f>
        <v>139.74007980789909</v>
      </c>
      <c r="C6" t="s">
        <v>5</v>
      </c>
      <c r="D6" s="2" t="s">
        <v>11</v>
      </c>
    </row>
    <row r="7" spans="1:4" ht="19" x14ac:dyDescent="0.25">
      <c r="A7" s="1" t="s">
        <v>12</v>
      </c>
      <c r="B7" s="2">
        <f>[1]Cumulative_Resp!W8</f>
        <v>121.39185758874287</v>
      </c>
      <c r="C7" t="s">
        <v>5</v>
      </c>
      <c r="D7" s="2" t="s">
        <v>11</v>
      </c>
    </row>
    <row r="8" spans="1:4" ht="19" x14ac:dyDescent="0.25">
      <c r="A8" s="1" t="s">
        <v>13</v>
      </c>
      <c r="B8" s="2">
        <f>[1]Cumulative_Resp!W9</f>
        <v>110.6892515413398</v>
      </c>
      <c r="C8" t="s">
        <v>5</v>
      </c>
      <c r="D8" s="2" t="s">
        <v>11</v>
      </c>
    </row>
    <row r="9" spans="1:4" ht="19" x14ac:dyDescent="0.25">
      <c r="A9" s="1" t="s">
        <v>14</v>
      </c>
      <c r="B9" s="2">
        <f>[1]Cumulative_Resp!W10</f>
        <v>117.12140865926288</v>
      </c>
      <c r="C9" t="s">
        <v>5</v>
      </c>
      <c r="D9" s="2" t="s">
        <v>11</v>
      </c>
    </row>
    <row r="10" spans="1:4" ht="19" x14ac:dyDescent="0.25">
      <c r="A10" s="1" t="s">
        <v>15</v>
      </c>
      <c r="B10" s="2">
        <f>[1]Cumulative_Resp!W11</f>
        <v>1442.5265746141533</v>
      </c>
      <c r="C10" t="s">
        <v>16</v>
      </c>
      <c r="D10" s="2" t="s">
        <v>17</v>
      </c>
    </row>
    <row r="11" spans="1:4" ht="19" x14ac:dyDescent="0.25">
      <c r="A11" s="1" t="s">
        <v>18</v>
      </c>
      <c r="B11" s="2">
        <f>[1]Cumulative_Resp!W12</f>
        <v>881.63791881753775</v>
      </c>
      <c r="C11" t="s">
        <v>16</v>
      </c>
      <c r="D11" s="2" t="s">
        <v>17</v>
      </c>
    </row>
    <row r="12" spans="1:4" ht="19" x14ac:dyDescent="0.25">
      <c r="A12" s="1" t="s">
        <v>19</v>
      </c>
      <c r="B12" s="2">
        <f>[1]Cumulative_Resp!W13</f>
        <v>779.52229854206394</v>
      </c>
      <c r="C12" t="s">
        <v>16</v>
      </c>
      <c r="D12" s="2" t="s">
        <v>17</v>
      </c>
    </row>
    <row r="13" spans="1:4" ht="19" x14ac:dyDescent="0.25">
      <c r="A13" s="1" t="s">
        <v>20</v>
      </c>
      <c r="B13" s="2">
        <f>[1]Cumulative_Resp!W14</f>
        <v>925.55011632702622</v>
      </c>
      <c r="C13" t="s">
        <v>16</v>
      </c>
      <c r="D13" s="2" t="s">
        <v>17</v>
      </c>
    </row>
    <row r="14" spans="1:4" ht="19" x14ac:dyDescent="0.25">
      <c r="A14" s="1" t="s">
        <v>21</v>
      </c>
      <c r="B14" s="2">
        <f>[1]Cumulative_Resp!W15</f>
        <v>1393.4988740657061</v>
      </c>
      <c r="C14" t="s">
        <v>16</v>
      </c>
      <c r="D14" s="2" t="s">
        <v>22</v>
      </c>
    </row>
    <row r="15" spans="1:4" ht="19" x14ac:dyDescent="0.25">
      <c r="A15" s="1" t="s">
        <v>23</v>
      </c>
      <c r="B15" s="2">
        <f>[1]Cumulative_Resp!W16</f>
        <v>1683.7254972629803</v>
      </c>
      <c r="C15" t="s">
        <v>16</v>
      </c>
      <c r="D15" s="2" t="s">
        <v>22</v>
      </c>
    </row>
    <row r="16" spans="1:4" ht="19" x14ac:dyDescent="0.25">
      <c r="A16" s="1" t="s">
        <v>24</v>
      </c>
      <c r="B16" s="2">
        <f>[1]Cumulative_Resp!W17</f>
        <v>1015.1529447101592</v>
      </c>
      <c r="C16" t="s">
        <v>16</v>
      </c>
      <c r="D16" s="2" t="s">
        <v>22</v>
      </c>
    </row>
    <row r="17" spans="1:4" ht="19" x14ac:dyDescent="0.25">
      <c r="A17" s="1" t="s">
        <v>25</v>
      </c>
      <c r="B17" s="2">
        <f>[1]Cumulative_Resp!W18</f>
        <v>316.66412749421841</v>
      </c>
      <c r="C17" t="s">
        <v>16</v>
      </c>
      <c r="D17" s="2" t="s">
        <v>22</v>
      </c>
    </row>
    <row r="18" spans="1:4" ht="19" x14ac:dyDescent="0.25">
      <c r="A18" s="1" t="s">
        <v>26</v>
      </c>
      <c r="B18" s="2">
        <f>[1]Cumulative_Resp!W19</f>
        <v>1030.7601154429401</v>
      </c>
      <c r="C18" t="s">
        <v>27</v>
      </c>
      <c r="D18" s="2" t="s">
        <v>28</v>
      </c>
    </row>
    <row r="19" spans="1:4" ht="19" x14ac:dyDescent="0.25">
      <c r="A19" s="1" t="s">
        <v>29</v>
      </c>
      <c r="B19" s="2">
        <f>[1]Cumulative_Resp!W20</f>
        <v>984.91164567110775</v>
      </c>
      <c r="C19" t="s">
        <v>27</v>
      </c>
      <c r="D19" s="2" t="s">
        <v>28</v>
      </c>
    </row>
    <row r="20" spans="1:4" ht="19" x14ac:dyDescent="0.25">
      <c r="A20" s="1" t="s">
        <v>30</v>
      </c>
      <c r="B20" s="2">
        <f>[1]Cumulative_Resp!W21</f>
        <v>592.20484158173485</v>
      </c>
      <c r="C20" t="s">
        <v>27</v>
      </c>
      <c r="D20" s="2" t="s">
        <v>28</v>
      </c>
    </row>
    <row r="21" spans="1:4" ht="19" x14ac:dyDescent="0.25">
      <c r="A21" s="1" t="s">
        <v>31</v>
      </c>
      <c r="B21" s="2">
        <f>[1]Cumulative_Resp!W22</f>
        <v>644.84069822908805</v>
      </c>
      <c r="C21" t="s">
        <v>27</v>
      </c>
      <c r="D21" s="2" t="s">
        <v>28</v>
      </c>
    </row>
    <row r="22" spans="1:4" ht="19" x14ac:dyDescent="0.25">
      <c r="A22" s="1" t="s">
        <v>32</v>
      </c>
      <c r="B22" s="2">
        <f>[1]Cumulative_Resp!W23</f>
        <v>348.83075787470818</v>
      </c>
      <c r="C22" t="s">
        <v>27</v>
      </c>
      <c r="D22" s="2" t="s">
        <v>33</v>
      </c>
    </row>
    <row r="23" spans="1:4" ht="19" x14ac:dyDescent="0.25">
      <c r="A23" s="1" t="s">
        <v>34</v>
      </c>
      <c r="B23" s="2">
        <f>[1]Cumulative_Resp!W24</f>
        <v>490.20032681084166</v>
      </c>
      <c r="C23" t="s">
        <v>27</v>
      </c>
      <c r="D23" s="2" t="s">
        <v>33</v>
      </c>
    </row>
    <row r="24" spans="1:4" ht="19" x14ac:dyDescent="0.25">
      <c r="A24" s="1" t="s">
        <v>35</v>
      </c>
      <c r="B24" s="2">
        <f>[1]Cumulative_Resp!W25</f>
        <v>324.27551384446451</v>
      </c>
      <c r="C24" t="s">
        <v>27</v>
      </c>
      <c r="D24" s="2" t="s">
        <v>33</v>
      </c>
    </row>
    <row r="25" spans="1:4" ht="19" x14ac:dyDescent="0.25">
      <c r="A25" s="1" t="s">
        <v>36</v>
      </c>
      <c r="B25" s="2">
        <f>[1]Cumulative_Resp!W26</f>
        <v>654.86741730068286</v>
      </c>
      <c r="C25" t="s">
        <v>27</v>
      </c>
      <c r="D25" s="2" t="s">
        <v>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D02E-4CD8-8E40-827B-C1DC673025CA}">
  <dimension ref="A1:D13"/>
  <sheetViews>
    <sheetView workbookViewId="0">
      <selection activeCell="A8" sqref="A8:XFD8"/>
    </sheetView>
  </sheetViews>
  <sheetFormatPr baseColWidth="10" defaultRowHeight="16" x14ac:dyDescent="0.2"/>
  <sheetData>
    <row r="1" spans="1:4" x14ac:dyDescent="0.2">
      <c r="A1" t="s">
        <v>3</v>
      </c>
      <c r="B1" t="s">
        <v>2</v>
      </c>
      <c r="C1" t="s">
        <v>42</v>
      </c>
      <c r="D1" t="s">
        <v>37</v>
      </c>
    </row>
    <row r="2" spans="1:4" x14ac:dyDescent="0.2">
      <c r="A2" t="s">
        <v>6</v>
      </c>
      <c r="B2" t="s">
        <v>5</v>
      </c>
      <c r="C2">
        <v>4.84</v>
      </c>
      <c r="D2" t="s">
        <v>38</v>
      </c>
    </row>
    <row r="3" spans="1:4" x14ac:dyDescent="0.2">
      <c r="A3" t="s">
        <v>11</v>
      </c>
      <c r="B3" t="s">
        <v>5</v>
      </c>
      <c r="C3">
        <v>4.91</v>
      </c>
      <c r="D3" t="s">
        <v>38</v>
      </c>
    </row>
    <row r="4" spans="1:4" x14ac:dyDescent="0.2">
      <c r="A4" t="s">
        <v>39</v>
      </c>
      <c r="B4" t="s">
        <v>16</v>
      </c>
      <c r="C4">
        <v>4.71</v>
      </c>
      <c r="D4" t="s">
        <v>38</v>
      </c>
    </row>
    <row r="5" spans="1:4" x14ac:dyDescent="0.2">
      <c r="A5" t="s">
        <v>40</v>
      </c>
      <c r="B5" t="s">
        <v>16</v>
      </c>
      <c r="C5">
        <v>4.7300000000000004</v>
      </c>
      <c r="D5" t="s">
        <v>38</v>
      </c>
    </row>
    <row r="6" spans="1:4" x14ac:dyDescent="0.2">
      <c r="A6" t="s">
        <v>28</v>
      </c>
      <c r="B6" t="s">
        <v>27</v>
      </c>
      <c r="C6">
        <v>4.41</v>
      </c>
      <c r="D6" t="s">
        <v>38</v>
      </c>
    </row>
    <row r="7" spans="1:4" x14ac:dyDescent="0.2">
      <c r="A7" t="s">
        <v>41</v>
      </c>
      <c r="B7" t="s">
        <v>27</v>
      </c>
      <c r="C7">
        <v>4.16</v>
      </c>
      <c r="D7" t="s">
        <v>38</v>
      </c>
    </row>
    <row r="8" spans="1:4" x14ac:dyDescent="0.2">
      <c r="A8" t="s">
        <v>6</v>
      </c>
      <c r="B8" t="s">
        <v>5</v>
      </c>
      <c r="C8">
        <v>4.83</v>
      </c>
      <c r="D8" t="s">
        <v>43</v>
      </c>
    </row>
    <row r="9" spans="1:4" x14ac:dyDescent="0.2">
      <c r="A9" t="s">
        <v>11</v>
      </c>
      <c r="B9" t="s">
        <v>5</v>
      </c>
      <c r="C9">
        <v>4.88</v>
      </c>
      <c r="D9" t="s">
        <v>43</v>
      </c>
    </row>
    <row r="10" spans="1:4" x14ac:dyDescent="0.2">
      <c r="A10" t="s">
        <v>39</v>
      </c>
      <c r="B10" t="s">
        <v>16</v>
      </c>
      <c r="C10">
        <v>4.71</v>
      </c>
      <c r="D10" t="s">
        <v>43</v>
      </c>
    </row>
    <row r="11" spans="1:4" x14ac:dyDescent="0.2">
      <c r="A11" t="s">
        <v>40</v>
      </c>
      <c r="B11" t="s">
        <v>16</v>
      </c>
      <c r="C11">
        <v>4.72</v>
      </c>
      <c r="D11" t="s">
        <v>43</v>
      </c>
    </row>
    <row r="12" spans="1:4" x14ac:dyDescent="0.2">
      <c r="A12" t="s">
        <v>28</v>
      </c>
      <c r="B12" t="s">
        <v>27</v>
      </c>
      <c r="C12">
        <v>4.0599999999999996</v>
      </c>
      <c r="D12" t="s">
        <v>43</v>
      </c>
    </row>
    <row r="13" spans="1:4" x14ac:dyDescent="0.2">
      <c r="A13" t="s">
        <v>41</v>
      </c>
      <c r="B13" t="s">
        <v>27</v>
      </c>
      <c r="C13">
        <v>3.94</v>
      </c>
      <c r="D1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5820-B739-0340-A6D1-4A1EF15FA05F}">
  <dimension ref="A1:D13"/>
  <sheetViews>
    <sheetView workbookViewId="0">
      <selection activeCell="F12" sqref="F12"/>
    </sheetView>
  </sheetViews>
  <sheetFormatPr baseColWidth="10" defaultRowHeight="16" x14ac:dyDescent="0.2"/>
  <sheetData>
    <row r="1" spans="1:4" x14ac:dyDescent="0.2">
      <c r="A1" t="s">
        <v>3</v>
      </c>
      <c r="B1" t="s">
        <v>2</v>
      </c>
      <c r="C1" t="s">
        <v>44</v>
      </c>
      <c r="D1" t="s">
        <v>37</v>
      </c>
    </row>
    <row r="2" spans="1:4" x14ac:dyDescent="0.2">
      <c r="A2" t="s">
        <v>6</v>
      </c>
      <c r="B2" t="s">
        <v>5</v>
      </c>
      <c r="C2">
        <v>350.9</v>
      </c>
      <c r="D2" t="s">
        <v>38</v>
      </c>
    </row>
    <row r="3" spans="1:4" x14ac:dyDescent="0.2">
      <c r="A3" t="s">
        <v>11</v>
      </c>
      <c r="B3" t="s">
        <v>5</v>
      </c>
      <c r="C3">
        <v>245.3</v>
      </c>
      <c r="D3" t="s">
        <v>38</v>
      </c>
    </row>
    <row r="4" spans="1:4" x14ac:dyDescent="0.2">
      <c r="A4" t="s">
        <v>39</v>
      </c>
      <c r="B4" t="s">
        <v>16</v>
      </c>
      <c r="C4">
        <v>441.6</v>
      </c>
      <c r="D4" t="s">
        <v>38</v>
      </c>
    </row>
    <row r="5" spans="1:4" x14ac:dyDescent="0.2">
      <c r="A5" t="s">
        <v>40</v>
      </c>
      <c r="B5" t="s">
        <v>16</v>
      </c>
      <c r="C5">
        <v>388.1</v>
      </c>
      <c r="D5" t="s">
        <v>38</v>
      </c>
    </row>
    <row r="6" spans="1:4" x14ac:dyDescent="0.2">
      <c r="A6" t="s">
        <v>28</v>
      </c>
      <c r="B6" t="s">
        <v>27</v>
      </c>
      <c r="C6">
        <v>206.3</v>
      </c>
      <c r="D6" t="s">
        <v>38</v>
      </c>
    </row>
    <row r="7" spans="1:4" x14ac:dyDescent="0.2">
      <c r="A7" t="s">
        <v>41</v>
      </c>
      <c r="B7" t="s">
        <v>27</v>
      </c>
      <c r="C7">
        <v>328.6</v>
      </c>
      <c r="D7" t="s">
        <v>38</v>
      </c>
    </row>
    <row r="8" spans="1:4" x14ac:dyDescent="0.2">
      <c r="A8" s="3" t="s">
        <v>6</v>
      </c>
      <c r="B8" s="3" t="s">
        <v>5</v>
      </c>
      <c r="C8" s="3">
        <v>264.2</v>
      </c>
      <c r="D8" t="s">
        <v>43</v>
      </c>
    </row>
    <row r="9" spans="1:4" x14ac:dyDescent="0.2">
      <c r="A9" s="3" t="s">
        <v>11</v>
      </c>
      <c r="B9" s="3" t="s">
        <v>5</v>
      </c>
      <c r="C9" s="3">
        <v>228.7</v>
      </c>
      <c r="D9" t="s">
        <v>43</v>
      </c>
    </row>
    <row r="10" spans="1:4" x14ac:dyDescent="0.2">
      <c r="A10" s="3" t="s">
        <v>39</v>
      </c>
      <c r="B10" s="3" t="s">
        <v>16</v>
      </c>
      <c r="C10" s="3">
        <v>345.6</v>
      </c>
      <c r="D10" t="s">
        <v>43</v>
      </c>
    </row>
    <row r="11" spans="1:4" x14ac:dyDescent="0.2">
      <c r="A11" s="3" t="s">
        <v>40</v>
      </c>
      <c r="B11" s="3" t="s">
        <v>16</v>
      </c>
      <c r="C11" s="3">
        <v>431.7</v>
      </c>
      <c r="D11" t="s">
        <v>43</v>
      </c>
    </row>
    <row r="12" spans="1:4" x14ac:dyDescent="0.2">
      <c r="A12" s="3" t="s">
        <v>28</v>
      </c>
      <c r="B12" s="3" t="s">
        <v>27</v>
      </c>
      <c r="C12" s="3">
        <v>440.4</v>
      </c>
      <c r="D12" t="s">
        <v>43</v>
      </c>
    </row>
    <row r="13" spans="1:4" x14ac:dyDescent="0.2">
      <c r="A13" s="3" t="s">
        <v>41</v>
      </c>
      <c r="B13" s="3" t="s">
        <v>27</v>
      </c>
      <c r="C13" s="3">
        <v>478.5</v>
      </c>
      <c r="D13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43B2-04AA-854D-8640-68B0643B15F0}">
  <dimension ref="A1:E13"/>
  <sheetViews>
    <sheetView workbookViewId="0">
      <selection activeCell="B1" sqref="B1"/>
    </sheetView>
  </sheetViews>
  <sheetFormatPr baseColWidth="10" defaultRowHeight="16" x14ac:dyDescent="0.2"/>
  <sheetData>
    <row r="1" spans="1:5" x14ac:dyDescent="0.2">
      <c r="A1" t="s">
        <v>0</v>
      </c>
      <c r="B1" t="s">
        <v>45</v>
      </c>
      <c r="C1" t="s">
        <v>2</v>
      </c>
      <c r="D1" t="s">
        <v>3</v>
      </c>
      <c r="E1" t="s">
        <v>37</v>
      </c>
    </row>
    <row r="2" spans="1:5" x14ac:dyDescent="0.2">
      <c r="A2" t="s">
        <v>6</v>
      </c>
      <c r="B2">
        <v>61.6</v>
      </c>
      <c r="C2" t="s">
        <v>5</v>
      </c>
      <c r="D2" t="s">
        <v>6</v>
      </c>
      <c r="E2" t="s">
        <v>38</v>
      </c>
    </row>
    <row r="3" spans="1:5" x14ac:dyDescent="0.2">
      <c r="A3" t="s">
        <v>11</v>
      </c>
      <c r="B3">
        <v>91.9</v>
      </c>
      <c r="C3" t="s">
        <v>5</v>
      </c>
      <c r="D3" t="s">
        <v>11</v>
      </c>
      <c r="E3" t="s">
        <v>38</v>
      </c>
    </row>
    <row r="4" spans="1:5" x14ac:dyDescent="0.2">
      <c r="A4" t="s">
        <v>39</v>
      </c>
      <c r="B4">
        <v>313.8</v>
      </c>
      <c r="C4" t="s">
        <v>16</v>
      </c>
      <c r="D4" t="s">
        <v>17</v>
      </c>
      <c r="E4" t="s">
        <v>38</v>
      </c>
    </row>
    <row r="5" spans="1:5" x14ac:dyDescent="0.2">
      <c r="A5" t="s">
        <v>40</v>
      </c>
      <c r="B5">
        <v>208.8</v>
      </c>
      <c r="C5" t="s">
        <v>16</v>
      </c>
      <c r="D5" t="s">
        <v>22</v>
      </c>
      <c r="E5" t="s">
        <v>38</v>
      </c>
    </row>
    <row r="6" spans="1:5" x14ac:dyDescent="0.2">
      <c r="A6" t="s">
        <v>28</v>
      </c>
      <c r="B6">
        <v>176.5</v>
      </c>
      <c r="C6" t="s">
        <v>27</v>
      </c>
      <c r="D6" t="s">
        <v>28</v>
      </c>
      <c r="E6" t="s">
        <v>38</v>
      </c>
    </row>
    <row r="7" spans="1:5" x14ac:dyDescent="0.2">
      <c r="A7" t="s">
        <v>41</v>
      </c>
      <c r="B7">
        <v>116.9</v>
      </c>
      <c r="C7" t="s">
        <v>27</v>
      </c>
      <c r="D7" t="s">
        <v>33</v>
      </c>
      <c r="E7" t="s">
        <v>38</v>
      </c>
    </row>
    <row r="8" spans="1:5" x14ac:dyDescent="0.2">
      <c r="A8" t="s">
        <v>6</v>
      </c>
      <c r="B8">
        <v>16.8</v>
      </c>
      <c r="C8" t="s">
        <v>5</v>
      </c>
      <c r="D8" t="s">
        <v>6</v>
      </c>
      <c r="E8" t="s">
        <v>43</v>
      </c>
    </row>
    <row r="9" spans="1:5" x14ac:dyDescent="0.2">
      <c r="A9" t="s">
        <v>11</v>
      </c>
      <c r="B9">
        <v>6.6</v>
      </c>
      <c r="C9" t="s">
        <v>5</v>
      </c>
      <c r="D9" t="s">
        <v>11</v>
      </c>
      <c r="E9" t="s">
        <v>43</v>
      </c>
    </row>
    <row r="10" spans="1:5" x14ac:dyDescent="0.2">
      <c r="A10" t="s">
        <v>39</v>
      </c>
      <c r="B10">
        <v>263.89999999999998</v>
      </c>
      <c r="C10" t="s">
        <v>16</v>
      </c>
      <c r="D10" t="s">
        <v>17</v>
      </c>
      <c r="E10" t="s">
        <v>43</v>
      </c>
    </row>
    <row r="11" spans="1:5" x14ac:dyDescent="0.2">
      <c r="A11" t="s">
        <v>40</v>
      </c>
      <c r="B11">
        <v>146.6</v>
      </c>
      <c r="C11" t="s">
        <v>16</v>
      </c>
      <c r="D11" t="s">
        <v>22</v>
      </c>
      <c r="E11" t="s">
        <v>43</v>
      </c>
    </row>
    <row r="12" spans="1:5" x14ac:dyDescent="0.2">
      <c r="A12" t="s">
        <v>28</v>
      </c>
      <c r="B12">
        <v>150.80000000000001</v>
      </c>
      <c r="C12" t="s">
        <v>27</v>
      </c>
      <c r="D12" t="s">
        <v>28</v>
      </c>
      <c r="E12" t="s">
        <v>43</v>
      </c>
    </row>
    <row r="13" spans="1:5" x14ac:dyDescent="0.2">
      <c r="A13" t="s">
        <v>41</v>
      </c>
      <c r="B13">
        <v>129.30000000000001</v>
      </c>
      <c r="C13" t="s">
        <v>27</v>
      </c>
      <c r="D13" t="s">
        <v>33</v>
      </c>
      <c r="E1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628B-EC66-4349-808C-CD519516A600}">
  <dimension ref="A1:E7"/>
  <sheetViews>
    <sheetView workbookViewId="0">
      <selection activeCell="F12" sqref="F12"/>
    </sheetView>
  </sheetViews>
  <sheetFormatPr baseColWidth="10" defaultRowHeight="16" x14ac:dyDescent="0.2"/>
  <sheetData>
    <row r="1" spans="1:5" x14ac:dyDescent="0.2">
      <c r="A1" t="s">
        <v>0</v>
      </c>
      <c r="B1" t="s">
        <v>46</v>
      </c>
      <c r="C1" t="s">
        <v>47</v>
      </c>
      <c r="D1" t="s">
        <v>2</v>
      </c>
      <c r="E1" t="s">
        <v>3</v>
      </c>
    </row>
    <row r="2" spans="1:5" x14ac:dyDescent="0.2">
      <c r="A2" t="s">
        <v>6</v>
      </c>
      <c r="B2">
        <v>3.6066666666666669</v>
      </c>
      <c r="C2">
        <v>0.18000000000000002</v>
      </c>
      <c r="D2" t="s">
        <v>5</v>
      </c>
      <c r="E2" t="s">
        <v>6</v>
      </c>
    </row>
    <row r="3" spans="1:5" x14ac:dyDescent="0.2">
      <c r="A3" t="s">
        <v>11</v>
      </c>
      <c r="B3">
        <v>1.8333333333333333</v>
      </c>
      <c r="C3">
        <v>0.10666666666666667</v>
      </c>
      <c r="D3" t="s">
        <v>5</v>
      </c>
      <c r="E3" t="s">
        <v>11</v>
      </c>
    </row>
    <row r="4" spans="1:5" x14ac:dyDescent="0.2">
      <c r="A4" t="s">
        <v>39</v>
      </c>
      <c r="B4">
        <v>37.889999999999993</v>
      </c>
      <c r="C4">
        <v>1.9000000000000001</v>
      </c>
      <c r="D4" t="s">
        <v>16</v>
      </c>
      <c r="E4" t="s">
        <v>17</v>
      </c>
    </row>
    <row r="5" spans="1:5" x14ac:dyDescent="0.2">
      <c r="A5" t="s">
        <v>40</v>
      </c>
      <c r="B5">
        <v>39.61333333333333</v>
      </c>
      <c r="C5">
        <v>2.1533333333333333</v>
      </c>
      <c r="D5" t="s">
        <v>16</v>
      </c>
      <c r="E5" t="s">
        <v>22</v>
      </c>
    </row>
    <row r="6" spans="1:5" x14ac:dyDescent="0.2">
      <c r="A6" t="s">
        <v>28</v>
      </c>
      <c r="B6">
        <v>30.866666666666664</v>
      </c>
      <c r="C6">
        <v>1.6566666666666665</v>
      </c>
      <c r="D6" t="s">
        <v>27</v>
      </c>
      <c r="E6" t="s">
        <v>28</v>
      </c>
    </row>
    <row r="7" spans="1:5" x14ac:dyDescent="0.2">
      <c r="A7" t="s">
        <v>41</v>
      </c>
      <c r="B7">
        <v>21.273333333333333</v>
      </c>
      <c r="C7">
        <v>1.0666666666666667</v>
      </c>
      <c r="D7" t="s">
        <v>27</v>
      </c>
      <c r="E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F8B9-D6CA-FC42-9A35-60934567D43C}">
  <dimension ref="A1:E7"/>
  <sheetViews>
    <sheetView workbookViewId="0">
      <selection sqref="A1:E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46</v>
      </c>
      <c r="E1" t="s">
        <v>47</v>
      </c>
    </row>
    <row r="2" spans="1:5" x14ac:dyDescent="0.2">
      <c r="A2" t="s">
        <v>6</v>
      </c>
      <c r="B2">
        <f>AVERAGE([2]Respiration_cum!B2:B5)</f>
        <v>179.06476625578736</v>
      </c>
      <c r="C2" t="s">
        <v>5</v>
      </c>
      <c r="D2">
        <v>3.6</v>
      </c>
      <c r="E2">
        <v>0.18</v>
      </c>
    </row>
    <row r="3" spans="1:5" x14ac:dyDescent="0.2">
      <c r="A3" t="s">
        <v>11</v>
      </c>
      <c r="B3">
        <f>AVERAGE([2]Respiration_cum!B6:B9)</f>
        <v>122.23564939931116</v>
      </c>
      <c r="C3" t="s">
        <v>5</v>
      </c>
      <c r="D3">
        <v>1.8</v>
      </c>
      <c r="E3">
        <v>0.11</v>
      </c>
    </row>
    <row r="4" spans="1:5" x14ac:dyDescent="0.2">
      <c r="A4" t="s">
        <v>39</v>
      </c>
      <c r="B4">
        <f>AVERAGE([2]Respiration_cum!B10:B13)</f>
        <v>1007.3092270751954</v>
      </c>
      <c r="C4" t="s">
        <v>16</v>
      </c>
      <c r="D4">
        <v>37.9</v>
      </c>
      <c r="E4">
        <v>1.9</v>
      </c>
    </row>
    <row r="5" spans="1:5" x14ac:dyDescent="0.2">
      <c r="A5" t="s">
        <v>40</v>
      </c>
      <c r="B5">
        <f>AVERAGE([2]Respiration_cum!B14:B17)</f>
        <v>1102.260360883266</v>
      </c>
      <c r="C5" t="s">
        <v>16</v>
      </c>
      <c r="D5">
        <v>39.6</v>
      </c>
      <c r="E5">
        <v>2.15</v>
      </c>
    </row>
    <row r="6" spans="1:5" x14ac:dyDescent="0.2">
      <c r="A6" t="s">
        <v>28</v>
      </c>
      <c r="B6">
        <f>AVERAGE([2]Respiration_cum!B18:B21)</f>
        <v>813.17932523121772</v>
      </c>
      <c r="C6" t="s">
        <v>27</v>
      </c>
      <c r="D6">
        <v>30.9</v>
      </c>
      <c r="E6">
        <v>1.67</v>
      </c>
    </row>
    <row r="7" spans="1:5" x14ac:dyDescent="0.2">
      <c r="A7" t="s">
        <v>41</v>
      </c>
      <c r="B7">
        <f>AVERAGE([2]Respiration_cum!B22:B25)</f>
        <v>454.54350395767426</v>
      </c>
      <c r="C7" t="s">
        <v>27</v>
      </c>
      <c r="D7">
        <v>21.8</v>
      </c>
      <c r="E7">
        <v>1.07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203F-292A-174B-8E9F-D470C2DD24D1}">
  <dimension ref="A1:H50"/>
  <sheetViews>
    <sheetView tabSelected="1" zoomScale="114" workbookViewId="0">
      <selection sqref="A1:G1"/>
    </sheetView>
  </sheetViews>
  <sheetFormatPr baseColWidth="10" defaultRowHeight="16" x14ac:dyDescent="0.2"/>
  <cols>
    <col min="6" max="6" width="22.1640625" customWidth="1"/>
    <col min="7" max="7" width="22" customWidth="1"/>
  </cols>
  <sheetData>
    <row r="1" spans="1:8" x14ac:dyDescent="0.2">
      <c r="A1" t="s">
        <v>48</v>
      </c>
      <c r="B1" t="s">
        <v>49</v>
      </c>
      <c r="C1" t="s">
        <v>50</v>
      </c>
      <c r="D1" t="s">
        <v>2</v>
      </c>
      <c r="E1" t="s">
        <v>3</v>
      </c>
      <c r="F1" t="s">
        <v>37</v>
      </c>
      <c r="G1" t="s">
        <v>51</v>
      </c>
    </row>
    <row r="2" spans="1:8" x14ac:dyDescent="0.2">
      <c r="A2" t="s">
        <v>52</v>
      </c>
      <c r="B2" s="4">
        <v>1</v>
      </c>
      <c r="C2" t="s">
        <v>53</v>
      </c>
      <c r="D2" t="s">
        <v>5</v>
      </c>
      <c r="E2" t="s">
        <v>6</v>
      </c>
      <c r="F2" t="s">
        <v>43</v>
      </c>
      <c r="G2">
        <v>971044.72096457251</v>
      </c>
      <c r="H2" s="3"/>
    </row>
    <row r="3" spans="1:8" x14ac:dyDescent="0.2">
      <c r="A3" t="s">
        <v>54</v>
      </c>
      <c r="B3" s="4">
        <v>2</v>
      </c>
      <c r="C3" t="s">
        <v>55</v>
      </c>
      <c r="D3" t="s">
        <v>5</v>
      </c>
      <c r="E3" t="s">
        <v>6</v>
      </c>
      <c r="F3" t="s">
        <v>43</v>
      </c>
      <c r="G3">
        <v>395917.98206015356</v>
      </c>
      <c r="H3" s="3"/>
    </row>
    <row r="4" spans="1:8" x14ac:dyDescent="0.2">
      <c r="A4" t="s">
        <v>56</v>
      </c>
      <c r="B4" s="4">
        <v>4</v>
      </c>
      <c r="C4" t="s">
        <v>57</v>
      </c>
      <c r="D4" t="s">
        <v>5</v>
      </c>
      <c r="E4" t="s">
        <v>6</v>
      </c>
      <c r="F4" t="s">
        <v>43</v>
      </c>
      <c r="G4">
        <v>694422.94908070017</v>
      </c>
      <c r="H4" s="3"/>
    </row>
    <row r="5" spans="1:8" x14ac:dyDescent="0.2">
      <c r="A5" t="s">
        <v>58</v>
      </c>
      <c r="B5" s="4">
        <v>5</v>
      </c>
      <c r="C5" t="s">
        <v>59</v>
      </c>
      <c r="D5" t="s">
        <v>5</v>
      </c>
      <c r="E5" t="s">
        <v>11</v>
      </c>
      <c r="F5" t="s">
        <v>43</v>
      </c>
      <c r="G5">
        <v>468064.53426613245</v>
      </c>
      <c r="H5" s="3"/>
    </row>
    <row r="6" spans="1:8" x14ac:dyDescent="0.2">
      <c r="A6" t="s">
        <v>60</v>
      </c>
      <c r="B6" s="4">
        <v>6</v>
      </c>
      <c r="C6" t="s">
        <v>61</v>
      </c>
      <c r="D6" t="s">
        <v>5</v>
      </c>
      <c r="E6" t="s">
        <v>11</v>
      </c>
      <c r="F6" t="s">
        <v>43</v>
      </c>
      <c r="G6">
        <v>459943.68413878506</v>
      </c>
      <c r="H6" s="3"/>
    </row>
    <row r="7" spans="1:8" x14ac:dyDescent="0.2">
      <c r="A7" t="s">
        <v>62</v>
      </c>
      <c r="B7" s="4">
        <v>7</v>
      </c>
      <c r="C7" t="s">
        <v>63</v>
      </c>
      <c r="D7" t="s">
        <v>5</v>
      </c>
      <c r="E7" t="s">
        <v>11</v>
      </c>
      <c r="F7" t="s">
        <v>43</v>
      </c>
      <c r="G7">
        <v>139614.25635682399</v>
      </c>
      <c r="H7" s="3"/>
    </row>
    <row r="8" spans="1:8" x14ac:dyDescent="0.2">
      <c r="A8" t="s">
        <v>64</v>
      </c>
      <c r="B8" s="4">
        <v>8</v>
      </c>
      <c r="C8" t="s">
        <v>65</v>
      </c>
      <c r="D8" t="s">
        <v>5</v>
      </c>
      <c r="E8" t="s">
        <v>11</v>
      </c>
      <c r="F8" t="s">
        <v>43</v>
      </c>
      <c r="G8">
        <v>136771.19896201289</v>
      </c>
      <c r="H8" s="3"/>
    </row>
    <row r="9" spans="1:8" x14ac:dyDescent="0.2">
      <c r="A9" t="s">
        <v>66</v>
      </c>
      <c r="B9" s="4">
        <v>9</v>
      </c>
      <c r="C9" t="s">
        <v>67</v>
      </c>
      <c r="D9" t="s">
        <v>16</v>
      </c>
      <c r="E9" t="s">
        <v>39</v>
      </c>
      <c r="F9" t="s">
        <v>43</v>
      </c>
      <c r="G9">
        <v>2326379.1207127902</v>
      </c>
    </row>
    <row r="10" spans="1:8" x14ac:dyDescent="0.2">
      <c r="A10" t="s">
        <v>68</v>
      </c>
      <c r="B10" s="4">
        <v>10</v>
      </c>
      <c r="C10" t="s">
        <v>69</v>
      </c>
      <c r="D10" t="s">
        <v>16</v>
      </c>
      <c r="E10" t="s">
        <v>39</v>
      </c>
      <c r="F10" t="s">
        <v>43</v>
      </c>
      <c r="G10">
        <v>1838558.2410456145</v>
      </c>
    </row>
    <row r="11" spans="1:8" x14ac:dyDescent="0.2">
      <c r="A11" t="s">
        <v>70</v>
      </c>
      <c r="B11" s="4">
        <v>11</v>
      </c>
      <c r="C11" t="s">
        <v>71</v>
      </c>
      <c r="D11" t="s">
        <v>16</v>
      </c>
      <c r="E11" t="s">
        <v>39</v>
      </c>
      <c r="F11" t="s">
        <v>43</v>
      </c>
      <c r="G11">
        <v>1182695.8869457073</v>
      </c>
    </row>
    <row r="12" spans="1:8" x14ac:dyDescent="0.2">
      <c r="A12" t="s">
        <v>72</v>
      </c>
      <c r="B12" s="4">
        <v>13</v>
      </c>
      <c r="C12" t="s">
        <v>73</v>
      </c>
      <c r="D12" t="s">
        <v>16</v>
      </c>
      <c r="E12" t="s">
        <v>40</v>
      </c>
      <c r="F12" t="s">
        <v>43</v>
      </c>
      <c r="G12">
        <v>1577594.5677156842</v>
      </c>
    </row>
    <row r="13" spans="1:8" x14ac:dyDescent="0.2">
      <c r="A13" t="s">
        <v>74</v>
      </c>
      <c r="B13" s="4">
        <v>14</v>
      </c>
      <c r="C13" t="s">
        <v>75</v>
      </c>
      <c r="D13" t="s">
        <v>16</v>
      </c>
      <c r="E13" t="s">
        <v>40</v>
      </c>
      <c r="F13" t="s">
        <v>43</v>
      </c>
      <c r="G13">
        <v>2220052.0866107424</v>
      </c>
    </row>
    <row r="14" spans="1:8" x14ac:dyDescent="0.2">
      <c r="A14" t="s">
        <v>76</v>
      </c>
      <c r="B14" s="4">
        <v>15</v>
      </c>
      <c r="C14" t="s">
        <v>77</v>
      </c>
      <c r="D14" t="s">
        <v>16</v>
      </c>
      <c r="E14" t="s">
        <v>40</v>
      </c>
      <c r="F14" t="s">
        <v>43</v>
      </c>
      <c r="G14">
        <v>285504.01914529933</v>
      </c>
    </row>
    <row r="15" spans="1:8" x14ac:dyDescent="0.2">
      <c r="A15" t="s">
        <v>78</v>
      </c>
      <c r="B15" s="4">
        <v>16</v>
      </c>
      <c r="C15" t="s">
        <v>79</v>
      </c>
      <c r="D15" t="s">
        <v>16</v>
      </c>
      <c r="E15" t="s">
        <v>40</v>
      </c>
      <c r="F15" t="s">
        <v>43</v>
      </c>
      <c r="G15">
        <v>852293.48403461662</v>
      </c>
    </row>
    <row r="16" spans="1:8" x14ac:dyDescent="0.2">
      <c r="A16" t="s">
        <v>80</v>
      </c>
      <c r="B16" s="4">
        <v>17</v>
      </c>
      <c r="C16" t="s">
        <v>81</v>
      </c>
      <c r="D16" t="s">
        <v>27</v>
      </c>
      <c r="E16" t="s">
        <v>28</v>
      </c>
      <c r="F16" t="s">
        <v>43</v>
      </c>
      <c r="G16">
        <v>3366785.9351742924</v>
      </c>
    </row>
    <row r="17" spans="1:7" x14ac:dyDescent="0.2">
      <c r="A17" t="s">
        <v>82</v>
      </c>
      <c r="B17" s="4">
        <v>18</v>
      </c>
      <c r="C17" t="s">
        <v>83</v>
      </c>
      <c r="D17" t="s">
        <v>27</v>
      </c>
      <c r="E17" t="s">
        <v>28</v>
      </c>
      <c r="F17" t="s">
        <v>43</v>
      </c>
      <c r="G17">
        <v>11240266.64141167</v>
      </c>
    </row>
    <row r="18" spans="1:7" x14ac:dyDescent="0.2">
      <c r="A18" t="s">
        <v>84</v>
      </c>
      <c r="B18" s="4">
        <v>19</v>
      </c>
      <c r="C18" t="s">
        <v>85</v>
      </c>
      <c r="D18" t="s">
        <v>27</v>
      </c>
      <c r="E18" t="s">
        <v>28</v>
      </c>
      <c r="F18" t="s">
        <v>43</v>
      </c>
      <c r="G18">
        <v>5946315.8617207147</v>
      </c>
    </row>
    <row r="19" spans="1:7" x14ac:dyDescent="0.2">
      <c r="A19" t="s">
        <v>86</v>
      </c>
      <c r="B19" s="4">
        <v>20</v>
      </c>
      <c r="C19" t="s">
        <v>87</v>
      </c>
      <c r="D19" t="s">
        <v>27</v>
      </c>
      <c r="E19" t="s">
        <v>28</v>
      </c>
      <c r="F19" t="s">
        <v>43</v>
      </c>
      <c r="G19">
        <v>5122120.0360413305</v>
      </c>
    </row>
    <row r="20" spans="1:7" x14ac:dyDescent="0.2">
      <c r="A20" t="s">
        <v>88</v>
      </c>
      <c r="B20" s="4">
        <v>21</v>
      </c>
      <c r="C20" t="s">
        <v>89</v>
      </c>
      <c r="D20" t="s">
        <v>27</v>
      </c>
      <c r="E20" t="s">
        <v>41</v>
      </c>
      <c r="F20" t="s">
        <v>43</v>
      </c>
      <c r="G20">
        <v>511240.37813836156</v>
      </c>
    </row>
    <row r="21" spans="1:7" x14ac:dyDescent="0.2">
      <c r="A21" t="s">
        <v>90</v>
      </c>
      <c r="B21" s="4">
        <v>22</v>
      </c>
      <c r="C21" t="s">
        <v>91</v>
      </c>
      <c r="D21" t="s">
        <v>27</v>
      </c>
      <c r="E21" t="s">
        <v>41</v>
      </c>
      <c r="F21" t="s">
        <v>43</v>
      </c>
      <c r="G21">
        <v>847655.23860051762</v>
      </c>
    </row>
    <row r="22" spans="1:7" x14ac:dyDescent="0.2">
      <c r="A22" t="s">
        <v>92</v>
      </c>
      <c r="B22" s="4">
        <v>23</v>
      </c>
      <c r="C22" t="s">
        <v>93</v>
      </c>
      <c r="D22" t="s">
        <v>27</v>
      </c>
      <c r="E22" t="s">
        <v>41</v>
      </c>
      <c r="F22" t="s">
        <v>43</v>
      </c>
      <c r="G22">
        <v>565415.4335893502</v>
      </c>
    </row>
    <row r="23" spans="1:7" x14ac:dyDescent="0.2">
      <c r="A23" t="s">
        <v>94</v>
      </c>
      <c r="B23" s="4">
        <v>24</v>
      </c>
      <c r="C23" t="s">
        <v>95</v>
      </c>
      <c r="D23" t="s">
        <v>27</v>
      </c>
      <c r="E23" t="s">
        <v>41</v>
      </c>
      <c r="F23" t="s">
        <v>43</v>
      </c>
      <c r="G23">
        <v>537770.20333213639</v>
      </c>
    </row>
    <row r="24" spans="1:7" x14ac:dyDescent="0.2">
      <c r="A24" t="s">
        <v>96</v>
      </c>
      <c r="B24" s="4">
        <v>25</v>
      </c>
      <c r="C24" t="s">
        <v>97</v>
      </c>
      <c r="D24" t="s">
        <v>5</v>
      </c>
      <c r="E24" t="s">
        <v>6</v>
      </c>
      <c r="F24" t="s">
        <v>38</v>
      </c>
      <c r="G24">
        <v>799602.84759945981</v>
      </c>
    </row>
    <row r="25" spans="1:7" x14ac:dyDescent="0.2">
      <c r="A25" t="s">
        <v>98</v>
      </c>
      <c r="B25" s="4">
        <v>26</v>
      </c>
      <c r="C25" t="s">
        <v>99</v>
      </c>
      <c r="D25" t="s">
        <v>5</v>
      </c>
      <c r="E25" t="s">
        <v>6</v>
      </c>
      <c r="F25" t="s">
        <v>38</v>
      </c>
      <c r="G25">
        <v>383538.63948935241</v>
      </c>
    </row>
    <row r="26" spans="1:7" x14ac:dyDescent="0.2">
      <c r="A26" t="s">
        <v>100</v>
      </c>
      <c r="B26" s="4">
        <v>28</v>
      </c>
      <c r="C26" t="s">
        <v>101</v>
      </c>
      <c r="D26" t="s">
        <v>5</v>
      </c>
      <c r="E26" t="s">
        <v>6</v>
      </c>
      <c r="F26" t="s">
        <v>38</v>
      </c>
      <c r="G26">
        <v>1133648.9746045242</v>
      </c>
    </row>
    <row r="27" spans="1:7" x14ac:dyDescent="0.2">
      <c r="A27" t="s">
        <v>102</v>
      </c>
      <c r="B27" s="4">
        <v>29</v>
      </c>
      <c r="C27" t="s">
        <v>103</v>
      </c>
      <c r="D27" t="s">
        <v>5</v>
      </c>
      <c r="E27" t="s">
        <v>11</v>
      </c>
      <c r="F27" t="s">
        <v>38</v>
      </c>
      <c r="G27">
        <v>179133.23619812506</v>
      </c>
    </row>
    <row r="28" spans="1:7" x14ac:dyDescent="0.2">
      <c r="A28" t="s">
        <v>104</v>
      </c>
      <c r="B28" s="4">
        <v>30</v>
      </c>
      <c r="C28" t="s">
        <v>105</v>
      </c>
      <c r="D28" t="s">
        <v>5</v>
      </c>
      <c r="E28" t="s">
        <v>11</v>
      </c>
      <c r="F28" t="s">
        <v>38</v>
      </c>
      <c r="G28">
        <v>457922.93859716918</v>
      </c>
    </row>
    <row r="29" spans="1:7" x14ac:dyDescent="0.2">
      <c r="A29" t="s">
        <v>106</v>
      </c>
      <c r="B29" s="4">
        <v>31</v>
      </c>
      <c r="C29" t="s">
        <v>107</v>
      </c>
      <c r="D29" t="s">
        <v>5</v>
      </c>
      <c r="E29" t="s">
        <v>11</v>
      </c>
      <c r="F29" t="s">
        <v>38</v>
      </c>
      <c r="G29">
        <v>278315.01361509017</v>
      </c>
    </row>
    <row r="30" spans="1:7" x14ac:dyDescent="0.2">
      <c r="A30" t="s">
        <v>108</v>
      </c>
      <c r="B30" s="4">
        <v>32</v>
      </c>
      <c r="C30" t="s">
        <v>109</v>
      </c>
      <c r="D30" t="s">
        <v>5</v>
      </c>
      <c r="E30" t="s">
        <v>11</v>
      </c>
      <c r="F30" t="s">
        <v>38</v>
      </c>
      <c r="G30">
        <v>646221.61317850754</v>
      </c>
    </row>
    <row r="31" spans="1:7" x14ac:dyDescent="0.2">
      <c r="A31" t="s">
        <v>110</v>
      </c>
      <c r="B31" s="4">
        <v>33</v>
      </c>
      <c r="C31" t="s">
        <v>111</v>
      </c>
      <c r="D31" t="s">
        <v>16</v>
      </c>
      <c r="E31" t="s">
        <v>39</v>
      </c>
      <c r="F31" t="s">
        <v>38</v>
      </c>
      <c r="G31">
        <v>1173201.7293741992</v>
      </c>
    </row>
    <row r="32" spans="1:7" x14ac:dyDescent="0.2">
      <c r="A32" t="s">
        <v>112</v>
      </c>
      <c r="B32" s="4">
        <v>34</v>
      </c>
      <c r="C32" t="s">
        <v>113</v>
      </c>
      <c r="D32" t="s">
        <v>16</v>
      </c>
      <c r="E32" t="s">
        <v>39</v>
      </c>
      <c r="F32" t="s">
        <v>38</v>
      </c>
      <c r="G32">
        <v>672159.61858655186</v>
      </c>
    </row>
    <row r="33" spans="1:7" x14ac:dyDescent="0.2">
      <c r="A33" t="s">
        <v>114</v>
      </c>
      <c r="B33" s="4">
        <v>35</v>
      </c>
      <c r="C33" t="s">
        <v>115</v>
      </c>
      <c r="D33" t="s">
        <v>16</v>
      </c>
      <c r="E33" t="s">
        <v>39</v>
      </c>
      <c r="F33" t="s">
        <v>38</v>
      </c>
      <c r="G33">
        <v>1132228.951068115</v>
      </c>
    </row>
    <row r="34" spans="1:7" x14ac:dyDescent="0.2">
      <c r="A34" t="s">
        <v>116</v>
      </c>
      <c r="B34" s="4">
        <v>37</v>
      </c>
      <c r="C34" t="s">
        <v>117</v>
      </c>
      <c r="D34" t="s">
        <v>16</v>
      </c>
      <c r="E34" t="s">
        <v>40</v>
      </c>
      <c r="F34" t="s">
        <v>38</v>
      </c>
      <c r="G34">
        <v>451960.73118606338</v>
      </c>
    </row>
    <row r="35" spans="1:7" x14ac:dyDescent="0.2">
      <c r="A35" t="s">
        <v>118</v>
      </c>
      <c r="B35" s="4">
        <v>38</v>
      </c>
      <c r="C35" t="s">
        <v>119</v>
      </c>
      <c r="D35" t="s">
        <v>16</v>
      </c>
      <c r="E35" t="s">
        <v>40</v>
      </c>
      <c r="F35" t="s">
        <v>38</v>
      </c>
      <c r="G35">
        <v>51720.405772239879</v>
      </c>
    </row>
    <row r="36" spans="1:7" x14ac:dyDescent="0.2">
      <c r="A36" t="s">
        <v>120</v>
      </c>
      <c r="B36" s="4">
        <v>39</v>
      </c>
      <c r="C36" t="s">
        <v>121</v>
      </c>
      <c r="D36" t="s">
        <v>16</v>
      </c>
      <c r="E36" t="s">
        <v>40</v>
      </c>
      <c r="F36" t="s">
        <v>38</v>
      </c>
      <c r="G36">
        <v>24291.307969453195</v>
      </c>
    </row>
    <row r="37" spans="1:7" x14ac:dyDescent="0.2">
      <c r="A37" t="s">
        <v>122</v>
      </c>
      <c r="B37" s="4">
        <v>40</v>
      </c>
      <c r="C37" t="s">
        <v>123</v>
      </c>
      <c r="D37" t="s">
        <v>16</v>
      </c>
      <c r="E37" t="s">
        <v>40</v>
      </c>
      <c r="F37" t="s">
        <v>38</v>
      </c>
      <c r="G37">
        <v>20444.971268141784</v>
      </c>
    </row>
    <row r="38" spans="1:7" x14ac:dyDescent="0.2">
      <c r="A38" t="s">
        <v>124</v>
      </c>
      <c r="B38" s="4">
        <v>41</v>
      </c>
      <c r="C38" t="s">
        <v>125</v>
      </c>
      <c r="D38" t="s">
        <v>27</v>
      </c>
      <c r="E38" t="s">
        <v>28</v>
      </c>
      <c r="F38" t="s">
        <v>38</v>
      </c>
      <c r="G38">
        <v>667917.125940055</v>
      </c>
    </row>
    <row r="39" spans="1:7" x14ac:dyDescent="0.2">
      <c r="A39" t="s">
        <v>126</v>
      </c>
      <c r="B39" s="4">
        <v>42</v>
      </c>
      <c r="C39" t="s">
        <v>127</v>
      </c>
      <c r="D39" t="s">
        <v>27</v>
      </c>
      <c r="E39" t="s">
        <v>28</v>
      </c>
      <c r="F39" t="s">
        <v>38</v>
      </c>
      <c r="G39">
        <v>2086355.0083449678</v>
      </c>
    </row>
    <row r="40" spans="1:7" x14ac:dyDescent="0.2">
      <c r="A40" t="s">
        <v>128</v>
      </c>
      <c r="B40" s="4">
        <v>43</v>
      </c>
      <c r="C40" t="s">
        <v>129</v>
      </c>
      <c r="D40" t="s">
        <v>27</v>
      </c>
      <c r="E40" t="s">
        <v>28</v>
      </c>
      <c r="F40" t="s">
        <v>38</v>
      </c>
      <c r="G40">
        <v>1827265.2996438243</v>
      </c>
    </row>
    <row r="41" spans="1:7" x14ac:dyDescent="0.2">
      <c r="A41" t="s">
        <v>130</v>
      </c>
      <c r="B41" s="4">
        <v>44</v>
      </c>
      <c r="C41" t="s">
        <v>131</v>
      </c>
      <c r="D41" t="s">
        <v>27</v>
      </c>
      <c r="E41" t="s">
        <v>28</v>
      </c>
      <c r="F41" t="s">
        <v>38</v>
      </c>
      <c r="G41">
        <v>2145045.5843551853</v>
      </c>
    </row>
    <row r="42" spans="1:7" x14ac:dyDescent="0.2">
      <c r="A42" t="s">
        <v>132</v>
      </c>
      <c r="B42" s="4">
        <v>45</v>
      </c>
      <c r="C42" t="s">
        <v>133</v>
      </c>
      <c r="D42" t="s">
        <v>27</v>
      </c>
      <c r="E42" t="s">
        <v>41</v>
      </c>
      <c r="F42" t="s">
        <v>38</v>
      </c>
      <c r="G42">
        <v>235671.38445530171</v>
      </c>
    </row>
    <row r="43" spans="1:7" x14ac:dyDescent="0.2">
      <c r="A43" t="s">
        <v>134</v>
      </c>
      <c r="B43" s="4">
        <v>46</v>
      </c>
      <c r="C43" t="s">
        <v>135</v>
      </c>
      <c r="D43" t="s">
        <v>27</v>
      </c>
      <c r="E43" t="s">
        <v>41</v>
      </c>
      <c r="F43" t="s">
        <v>38</v>
      </c>
      <c r="G43">
        <v>196572.33489159212</v>
      </c>
    </row>
    <row r="44" spans="1:7" x14ac:dyDescent="0.2">
      <c r="A44" t="s">
        <v>136</v>
      </c>
      <c r="B44" s="4">
        <v>47</v>
      </c>
      <c r="C44" t="s">
        <v>137</v>
      </c>
      <c r="D44" t="s">
        <v>27</v>
      </c>
      <c r="E44" t="s">
        <v>41</v>
      </c>
      <c r="F44" t="s">
        <v>38</v>
      </c>
      <c r="G44">
        <v>707945.3660574418</v>
      </c>
    </row>
    <row r="45" spans="1:7" x14ac:dyDescent="0.2">
      <c r="A45" t="s">
        <v>138</v>
      </c>
      <c r="B45" s="4">
        <v>48</v>
      </c>
      <c r="C45" t="s">
        <v>139</v>
      </c>
      <c r="D45" t="s">
        <v>27</v>
      </c>
      <c r="E45" t="s">
        <v>41</v>
      </c>
      <c r="F45" t="s">
        <v>38</v>
      </c>
      <c r="G45">
        <v>500510.03197030706</v>
      </c>
    </row>
    <row r="46" spans="1:7" x14ac:dyDescent="0.2">
      <c r="B46" s="4"/>
    </row>
    <row r="47" spans="1:7" x14ac:dyDescent="0.2">
      <c r="B47" s="4"/>
    </row>
    <row r="48" spans="1:7" x14ac:dyDescent="0.2">
      <c r="B48" s="4"/>
    </row>
    <row r="49" spans="2:2" x14ac:dyDescent="0.2">
      <c r="B49" s="4"/>
    </row>
    <row r="50" spans="2:2" x14ac:dyDescent="0.2">
      <c r="B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Respiration_cum</vt:lpstr>
      <vt:lpstr>pH</vt:lpstr>
      <vt:lpstr>EC</vt:lpstr>
      <vt:lpstr>GWC</vt:lpstr>
      <vt:lpstr>TC_TN</vt:lpstr>
      <vt:lpstr>Resp_TC_TN</vt:lpstr>
      <vt:lpstr>copynumber_all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2025-03-09T22:02:17Z</dcterms:created>
  <dcterms:modified xsi:type="dcterms:W3CDTF">2025-03-09T22:38:55Z</dcterms:modified>
</cp:coreProperties>
</file>