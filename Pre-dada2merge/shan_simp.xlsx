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yobrien/GitHub/Masters_publication/"/>
    </mc:Choice>
  </mc:AlternateContent>
  <xr:revisionPtr revIDLastSave="0" documentId="13_ncr:1_{4D9C784C-31E2-4E40-A7BB-4EC6E9CBC9F0}" xr6:coauthVersionLast="47" xr6:coauthVersionMax="47" xr10:uidLastSave="{00000000-0000-0000-0000-000000000000}"/>
  <bookViews>
    <workbookView xWindow="-5000" yWindow="760" windowWidth="30240" windowHeight="17740" activeTab="1" xr2:uid="{C2E1662A-7172-8C4D-8C84-B3D854A9C6C4}"/>
  </bookViews>
  <sheets>
    <sheet name="shansimp_original" sheetId="1" r:id="rId1"/>
    <sheet name="shansimp_reseq" sheetId="4" r:id="rId2"/>
    <sheet name="shansimp_crrel" sheetId="5" r:id="rId3"/>
    <sheet name="shansimp_fl" sheetId="6" r:id="rId4"/>
    <sheet name="shansimp_ut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4" l="1"/>
  <c r="P2" i="4"/>
  <c r="O2" i="4"/>
  <c r="N2" i="4"/>
  <c r="L2" i="4"/>
  <c r="K2" i="4"/>
  <c r="J2" i="4"/>
  <c r="I2" i="4"/>
  <c r="O2" i="7"/>
  <c r="I2" i="7"/>
  <c r="L3" i="7"/>
  <c r="K3" i="7"/>
  <c r="J3" i="7"/>
  <c r="I3" i="7"/>
  <c r="L2" i="7"/>
  <c r="K2" i="7"/>
  <c r="J2" i="7"/>
  <c r="O3" i="7" s="1"/>
  <c r="N3" i="7"/>
  <c r="N2" i="6"/>
  <c r="I3" i="6"/>
  <c r="I2" i="6"/>
  <c r="N3" i="6" s="1"/>
  <c r="O3" i="6"/>
  <c r="L3" i="6"/>
  <c r="K3" i="6"/>
  <c r="J3" i="6"/>
  <c r="L2" i="6"/>
  <c r="O2" i="6" s="1"/>
  <c r="K2" i="6"/>
  <c r="J2" i="6"/>
  <c r="O3" i="5"/>
  <c r="O2" i="5"/>
  <c r="N3" i="5"/>
  <c r="N2" i="5"/>
  <c r="L3" i="5"/>
  <c r="L2" i="5"/>
  <c r="K3" i="5"/>
  <c r="K2" i="5"/>
  <c r="J3" i="5"/>
  <c r="J2" i="5"/>
  <c r="I3" i="5"/>
  <c r="I2" i="5"/>
  <c r="N2" i="7" l="1"/>
</calcChain>
</file>

<file path=xl/sharedStrings.xml><?xml version="1.0" encoding="utf-8"?>
<sst xmlns="http://schemas.openxmlformats.org/spreadsheetml/2006/main" count="678" uniqueCount="131">
  <si>
    <t>sample_name</t>
  </si>
  <si>
    <t>sample</t>
  </si>
  <si>
    <t>sample_ID</t>
  </si>
  <si>
    <t>site</t>
  </si>
  <si>
    <t>core</t>
  </si>
  <si>
    <t>soil_blank</t>
  </si>
  <si>
    <t>Shannon</t>
  </si>
  <si>
    <t>Simpson</t>
  </si>
  <si>
    <t>2_S73_L002</t>
  </si>
  <si>
    <t>AT3_R6_POST_SOIL</t>
  </si>
  <si>
    <t>CRREL</t>
  </si>
  <si>
    <t>AT3</t>
  </si>
  <si>
    <t>soil</t>
  </si>
  <si>
    <t>4_S75_L002</t>
  </si>
  <si>
    <t>AT3_R8_POST_SOIL</t>
  </si>
  <si>
    <t>5_S76_L002</t>
  </si>
  <si>
    <t>AT4_R5_POST_SOIL</t>
  </si>
  <si>
    <t>AT4</t>
  </si>
  <si>
    <t>6_S77_L002</t>
  </si>
  <si>
    <t>AT4_R6_POST_SOIL</t>
  </si>
  <si>
    <t>13_S84_L002</t>
  </si>
  <si>
    <t>FL2C3_R5_POST_SOIL</t>
  </si>
  <si>
    <t>FL</t>
  </si>
  <si>
    <t>FL2C3</t>
  </si>
  <si>
    <t>14_S85_L002</t>
  </si>
  <si>
    <t>FL2C3_R6_POST_SOIL</t>
  </si>
  <si>
    <t>15_S86_L002</t>
  </si>
  <si>
    <t>FL2C3_R7_POST_SOIL</t>
  </si>
  <si>
    <t>16_S87_L002</t>
  </si>
  <si>
    <t>FL2C3_R8_POST_SOIL</t>
  </si>
  <si>
    <t>17_S88_L002</t>
  </si>
  <si>
    <t>BEO1_R5_POST_SOIL</t>
  </si>
  <si>
    <t>Utqiagvik</t>
  </si>
  <si>
    <t>BEO1</t>
  </si>
  <si>
    <t>18_S89_L002</t>
  </si>
  <si>
    <t>BEO1_R6_POST_SOIL</t>
  </si>
  <si>
    <t>19_S90_L002</t>
  </si>
  <si>
    <t>BEO1_R7_POST_SOIL</t>
  </si>
  <si>
    <t>20_S91_L002</t>
  </si>
  <si>
    <t>BEO1_R8_POST_SOIL</t>
  </si>
  <si>
    <t>21_S92_L002</t>
  </si>
  <si>
    <t>BEO2B_R5_POST_SOIL</t>
  </si>
  <si>
    <t>BEO2B</t>
  </si>
  <si>
    <t>22_S93_L002</t>
  </si>
  <si>
    <t>BEO2B_R6_POST_SOIL</t>
  </si>
  <si>
    <t>23_S94_L002</t>
  </si>
  <si>
    <t>BEO2B_R7_POST_SOIL</t>
  </si>
  <si>
    <t>25_S96_L002</t>
  </si>
  <si>
    <t>AT3_R5_PRE_SOIL</t>
  </si>
  <si>
    <t>26_S97_L002</t>
  </si>
  <si>
    <t>AT3_R6_PRE_SOIL</t>
  </si>
  <si>
    <t>27_S98_L002</t>
  </si>
  <si>
    <t>AT3_R7_PRE_SOIL</t>
  </si>
  <si>
    <t>28_S99_L002</t>
  </si>
  <si>
    <t>AT3_R8_PRE_SOIL</t>
  </si>
  <si>
    <t>29_S100_L002</t>
  </si>
  <si>
    <t>AT4_R5_PRE_SOIL</t>
  </si>
  <si>
    <t>31_S102_L002</t>
  </si>
  <si>
    <t>AT4_R7_PRE_SOIL</t>
  </si>
  <si>
    <t>33_S104_L002</t>
  </si>
  <si>
    <t>FL1C4_R5_PRE_SOIL</t>
  </si>
  <si>
    <t>FL1C4</t>
  </si>
  <si>
    <t>34_S105_L002</t>
  </si>
  <si>
    <t>FL1C4_R6_PRE_SOIL</t>
  </si>
  <si>
    <t>35_S106_L002</t>
  </si>
  <si>
    <t>FL1C4_R7_PRE_SOIL</t>
  </si>
  <si>
    <t>38_S109_L002</t>
  </si>
  <si>
    <t>FL2C3_R6_PRE_SOIL</t>
  </si>
  <si>
    <t>39_S110_L002</t>
  </si>
  <si>
    <t>FL2C3_R7_PRE_SOIL</t>
  </si>
  <si>
    <t>43_S114_L002</t>
  </si>
  <si>
    <t>BEO1_R7_PRE_SOIL</t>
  </si>
  <si>
    <t>44_S115_L002</t>
  </si>
  <si>
    <t>BEO1_R8_PRE_SOIL</t>
  </si>
  <si>
    <t>45_S116_L002</t>
  </si>
  <si>
    <t>BEO2B_R5_PRE_SOIL</t>
  </si>
  <si>
    <t>46_S117_L002</t>
  </si>
  <si>
    <t>BEO2B_R6_PRE_SOIL</t>
  </si>
  <si>
    <t>47_S118_L002</t>
  </si>
  <si>
    <t>BEO2B_R7_PRE_SOIL</t>
  </si>
  <si>
    <t>thaw_type</t>
  </si>
  <si>
    <t>thaw</t>
  </si>
  <si>
    <t>no_thaw</t>
  </si>
  <si>
    <t>41_S112_L002</t>
  </si>
  <si>
    <t>12_S12_L001_reseq</t>
  </si>
  <si>
    <t>13_S13_L001_reseq</t>
  </si>
  <si>
    <t>14_S14_L001_reseq</t>
  </si>
  <si>
    <t>15_S15_L001_reseq</t>
  </si>
  <si>
    <t>3_S3_L001_reseq</t>
  </si>
  <si>
    <t>4_S4_L001_reseq</t>
  </si>
  <si>
    <t>BEO1_R5_PRE_SOIL</t>
  </si>
  <si>
    <t>FL2C3_R5_PRE_SOIL</t>
  </si>
  <si>
    <t>FL2C3_R8_PRE_SOIL</t>
  </si>
  <si>
    <t>BEO1_R6_PRE_SOIL</t>
  </si>
  <si>
    <t>BEO2</t>
  </si>
  <si>
    <t>AT4_R6_PRE_SOIL</t>
  </si>
  <si>
    <t>AT4_R8_PRE_SOIL</t>
  </si>
  <si>
    <t>1_S1_L001_reseq</t>
  </si>
  <si>
    <t>10_S10_L001_reseq</t>
  </si>
  <si>
    <t>11_S11_L001_reseq</t>
  </si>
  <si>
    <t>16_S16_L001_reseq</t>
  </si>
  <si>
    <t>17_S17_L001_reseq</t>
  </si>
  <si>
    <t>2_S2_L001_reseq</t>
  </si>
  <si>
    <t>5_S5_L001_reseq</t>
  </si>
  <si>
    <t>6_S6_L001_reseq</t>
  </si>
  <si>
    <t>8_S8_L001_reseq</t>
  </si>
  <si>
    <t>9_S9_L001_reseq</t>
  </si>
  <si>
    <t>AT3_R5_POST_SOIL</t>
  </si>
  <si>
    <t>FL1C4_R8_POST_SOIL</t>
  </si>
  <si>
    <t>BEO2B_R8_PRE_SOIL</t>
  </si>
  <si>
    <t>BEO2B_R8_POST_SOIL</t>
  </si>
  <si>
    <t>AT3_R7_POST_SOIL</t>
  </si>
  <si>
    <t>AT4_R7_POST_SOIL</t>
  </si>
  <si>
    <t>AT4_R8_POST_SOIL</t>
  </si>
  <si>
    <t>FL1C4_R5_POST_SOIL</t>
  </si>
  <si>
    <t>FL1C4_R6_POST_SOIL</t>
  </si>
  <si>
    <t>treatment</t>
  </si>
  <si>
    <t>avg_shan_pre</t>
  </si>
  <si>
    <t>avg_simp_pre</t>
  </si>
  <si>
    <t>avg_shan_post</t>
  </si>
  <si>
    <t>avg_simp_post</t>
  </si>
  <si>
    <t>shan_decrease</t>
  </si>
  <si>
    <t>simp_decrease</t>
  </si>
  <si>
    <t>pre_shan_min</t>
  </si>
  <si>
    <t>pre_shan_max</t>
  </si>
  <si>
    <t>post_shan_min</t>
  </si>
  <si>
    <t>post_shan_max</t>
  </si>
  <si>
    <t>pre_simp_min</t>
  </si>
  <si>
    <t>pre_simp_max</t>
  </si>
  <si>
    <t>post_simp_min</t>
  </si>
  <si>
    <t>post_simp_max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</si>
</sst>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9D9D1-2303-2542-A025-978CA4F05E1C}">
  <dimension ref="A1:I32"/>
  <sheetViews>
    <sheetView workbookViewId="0">
      <selection activeCell="F17" sqref="F17:F32"/>
    </sheetView>
  </sheetViews>
  <sheetFormatPr baseColWidth="10" defaultRowHeight="16" x14ac:dyDescent="0.2"/>
  <cols>
    <col min="1" max="1" width="12.6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80</v>
      </c>
      <c r="G1" t="s">
        <v>5</v>
      </c>
      <c r="H1" t="s">
        <v>6</v>
      </c>
      <c r="I1" t="s">
        <v>7</v>
      </c>
    </row>
    <row r="2" spans="1:9" x14ac:dyDescent="0.2">
      <c r="A2" t="s">
        <v>8</v>
      </c>
      <c r="B2">
        <v>2</v>
      </c>
      <c r="C2" t="s">
        <v>9</v>
      </c>
      <c r="D2" t="s">
        <v>10</v>
      </c>
      <c r="E2" t="s">
        <v>11</v>
      </c>
      <c r="F2" t="s">
        <v>81</v>
      </c>
      <c r="G2" t="s">
        <v>12</v>
      </c>
      <c r="H2">
        <v>4.0873845409999996</v>
      </c>
      <c r="I2">
        <v>0.95907480000000001</v>
      </c>
    </row>
    <row r="3" spans="1:9" x14ac:dyDescent="0.2">
      <c r="A3" t="s">
        <v>13</v>
      </c>
      <c r="B3">
        <v>4</v>
      </c>
      <c r="C3" t="s">
        <v>14</v>
      </c>
      <c r="D3" t="s">
        <v>10</v>
      </c>
      <c r="E3" t="s">
        <v>11</v>
      </c>
      <c r="F3" t="s">
        <v>81</v>
      </c>
      <c r="G3" t="s">
        <v>12</v>
      </c>
      <c r="H3">
        <v>4.316569651</v>
      </c>
      <c r="I3">
        <v>0.96873231999999998</v>
      </c>
    </row>
    <row r="4" spans="1:9" x14ac:dyDescent="0.2">
      <c r="A4" t="s">
        <v>15</v>
      </c>
      <c r="B4">
        <v>5</v>
      </c>
      <c r="C4" t="s">
        <v>16</v>
      </c>
      <c r="D4" t="s">
        <v>10</v>
      </c>
      <c r="E4" t="s">
        <v>17</v>
      </c>
      <c r="F4" t="s">
        <v>81</v>
      </c>
      <c r="G4" t="s">
        <v>12</v>
      </c>
      <c r="H4">
        <v>3.4636256150000002</v>
      </c>
      <c r="I4">
        <v>0.90860255999999995</v>
      </c>
    </row>
    <row r="5" spans="1:9" x14ac:dyDescent="0.2">
      <c r="A5" t="s">
        <v>18</v>
      </c>
      <c r="B5">
        <v>6</v>
      </c>
      <c r="C5" t="s">
        <v>19</v>
      </c>
      <c r="D5" t="s">
        <v>10</v>
      </c>
      <c r="E5" t="s">
        <v>17</v>
      </c>
      <c r="F5" t="s">
        <v>81</v>
      </c>
      <c r="G5" t="s">
        <v>12</v>
      </c>
      <c r="H5">
        <v>3.952098543</v>
      </c>
      <c r="I5">
        <v>0.94339735999999996</v>
      </c>
    </row>
    <row r="6" spans="1:9" x14ac:dyDescent="0.2">
      <c r="A6" t="s">
        <v>20</v>
      </c>
      <c r="B6">
        <v>13</v>
      </c>
      <c r="C6" t="s">
        <v>21</v>
      </c>
      <c r="D6" t="s">
        <v>22</v>
      </c>
      <c r="E6" t="s">
        <v>23</v>
      </c>
      <c r="F6" t="s">
        <v>81</v>
      </c>
      <c r="G6" t="s">
        <v>12</v>
      </c>
      <c r="H6">
        <v>2.0708458150000002</v>
      </c>
      <c r="I6">
        <v>0.66200216000000001</v>
      </c>
    </row>
    <row r="7" spans="1:9" x14ac:dyDescent="0.2">
      <c r="A7" t="s">
        <v>24</v>
      </c>
      <c r="B7">
        <v>14</v>
      </c>
      <c r="C7" t="s">
        <v>25</v>
      </c>
      <c r="D7" t="s">
        <v>22</v>
      </c>
      <c r="E7" t="s">
        <v>23</v>
      </c>
      <c r="F7" t="s">
        <v>81</v>
      </c>
      <c r="G7" t="s">
        <v>12</v>
      </c>
      <c r="H7">
        <v>2.4506421839999999</v>
      </c>
      <c r="I7">
        <v>0.71689767999999998</v>
      </c>
    </row>
    <row r="8" spans="1:9" x14ac:dyDescent="0.2">
      <c r="A8" t="s">
        <v>26</v>
      </c>
      <c r="B8">
        <v>15</v>
      </c>
      <c r="C8" t="s">
        <v>27</v>
      </c>
      <c r="D8" t="s">
        <v>22</v>
      </c>
      <c r="E8" t="s">
        <v>23</v>
      </c>
      <c r="F8" t="s">
        <v>81</v>
      </c>
      <c r="G8" t="s">
        <v>12</v>
      </c>
      <c r="H8">
        <v>2.8334932890000002</v>
      </c>
      <c r="I8">
        <v>0.80909624000000002</v>
      </c>
    </row>
    <row r="9" spans="1:9" x14ac:dyDescent="0.2">
      <c r="A9" t="s">
        <v>28</v>
      </c>
      <c r="B9">
        <v>16</v>
      </c>
      <c r="C9" t="s">
        <v>29</v>
      </c>
      <c r="D9" t="s">
        <v>22</v>
      </c>
      <c r="E9" t="s">
        <v>23</v>
      </c>
      <c r="F9" t="s">
        <v>81</v>
      </c>
      <c r="G9" t="s">
        <v>12</v>
      </c>
      <c r="H9">
        <v>2.2249590370000001</v>
      </c>
      <c r="I9">
        <v>0.64482152000000004</v>
      </c>
    </row>
    <row r="10" spans="1:9" x14ac:dyDescent="0.2">
      <c r="A10" t="s">
        <v>30</v>
      </c>
      <c r="B10">
        <v>17</v>
      </c>
      <c r="C10" t="s">
        <v>31</v>
      </c>
      <c r="D10" t="s">
        <v>32</v>
      </c>
      <c r="E10" t="s">
        <v>33</v>
      </c>
      <c r="F10" t="s">
        <v>81</v>
      </c>
      <c r="G10" t="s">
        <v>12</v>
      </c>
      <c r="H10">
        <v>0.827778448</v>
      </c>
      <c r="I10">
        <v>0.33722656000000001</v>
      </c>
    </row>
    <row r="11" spans="1:9" x14ac:dyDescent="0.2">
      <c r="A11" t="s">
        <v>34</v>
      </c>
      <c r="B11">
        <v>18</v>
      </c>
      <c r="C11" t="s">
        <v>35</v>
      </c>
      <c r="D11" t="s">
        <v>32</v>
      </c>
      <c r="E11" t="s">
        <v>33</v>
      </c>
      <c r="F11" t="s">
        <v>81</v>
      </c>
      <c r="G11" t="s">
        <v>12</v>
      </c>
      <c r="H11">
        <v>0.63817563899999996</v>
      </c>
      <c r="I11">
        <v>0.2344704</v>
      </c>
    </row>
    <row r="12" spans="1:9" x14ac:dyDescent="0.2">
      <c r="A12" t="s">
        <v>36</v>
      </c>
      <c r="B12">
        <v>19</v>
      </c>
      <c r="C12" t="s">
        <v>37</v>
      </c>
      <c r="D12" t="s">
        <v>32</v>
      </c>
      <c r="E12" t="s">
        <v>33</v>
      </c>
      <c r="F12" t="s">
        <v>81</v>
      </c>
      <c r="G12" t="s">
        <v>12</v>
      </c>
      <c r="H12">
        <v>3.5378633430000002</v>
      </c>
      <c r="I12">
        <v>0.92610408</v>
      </c>
    </row>
    <row r="13" spans="1:9" x14ac:dyDescent="0.2">
      <c r="A13" t="s">
        <v>38</v>
      </c>
      <c r="B13">
        <v>20</v>
      </c>
      <c r="C13" t="s">
        <v>39</v>
      </c>
      <c r="D13" t="s">
        <v>32</v>
      </c>
      <c r="E13" t="s">
        <v>33</v>
      </c>
      <c r="F13" t="s">
        <v>81</v>
      </c>
      <c r="G13" t="s">
        <v>12</v>
      </c>
      <c r="H13">
        <v>1.200191674</v>
      </c>
      <c r="I13">
        <v>0.55020727999999997</v>
      </c>
    </row>
    <row r="14" spans="1:9" x14ac:dyDescent="0.2">
      <c r="A14" t="s">
        <v>40</v>
      </c>
      <c r="B14">
        <v>21</v>
      </c>
      <c r="C14" t="s">
        <v>41</v>
      </c>
      <c r="D14" t="s">
        <v>32</v>
      </c>
      <c r="E14" t="s">
        <v>42</v>
      </c>
      <c r="F14" t="s">
        <v>81</v>
      </c>
      <c r="G14" t="s">
        <v>12</v>
      </c>
      <c r="H14">
        <v>3.236765943</v>
      </c>
      <c r="I14">
        <v>0.92061247999999996</v>
      </c>
    </row>
    <row r="15" spans="1:9" x14ac:dyDescent="0.2">
      <c r="A15" t="s">
        <v>43</v>
      </c>
      <c r="B15">
        <v>22</v>
      </c>
      <c r="C15" t="s">
        <v>44</v>
      </c>
      <c r="D15" t="s">
        <v>32</v>
      </c>
      <c r="E15" t="s">
        <v>42</v>
      </c>
      <c r="F15" t="s">
        <v>81</v>
      </c>
      <c r="G15" t="s">
        <v>12</v>
      </c>
      <c r="H15">
        <v>3.268534383</v>
      </c>
      <c r="I15">
        <v>0.90454632000000001</v>
      </c>
    </row>
    <row r="16" spans="1:9" x14ac:dyDescent="0.2">
      <c r="A16" t="s">
        <v>45</v>
      </c>
      <c r="B16">
        <v>23</v>
      </c>
      <c r="C16" t="s">
        <v>46</v>
      </c>
      <c r="D16" t="s">
        <v>32</v>
      </c>
      <c r="E16" t="s">
        <v>42</v>
      </c>
      <c r="F16" t="s">
        <v>81</v>
      </c>
      <c r="G16" t="s">
        <v>12</v>
      </c>
      <c r="H16">
        <v>3.0495909550000002</v>
      </c>
      <c r="I16">
        <v>0.92473207999999996</v>
      </c>
    </row>
    <row r="17" spans="1:9" x14ac:dyDescent="0.2">
      <c r="A17" t="s">
        <v>47</v>
      </c>
      <c r="B17">
        <v>25</v>
      </c>
      <c r="C17" t="s">
        <v>48</v>
      </c>
      <c r="D17" t="s">
        <v>10</v>
      </c>
      <c r="E17" t="s">
        <v>11</v>
      </c>
      <c r="F17" t="s">
        <v>82</v>
      </c>
      <c r="G17" t="s">
        <v>12</v>
      </c>
      <c r="H17">
        <v>4.5312034309999998</v>
      </c>
      <c r="I17">
        <v>0.97830463999999995</v>
      </c>
    </row>
    <row r="18" spans="1:9" x14ac:dyDescent="0.2">
      <c r="A18" t="s">
        <v>49</v>
      </c>
      <c r="B18">
        <v>26</v>
      </c>
      <c r="C18" t="s">
        <v>50</v>
      </c>
      <c r="D18" t="s">
        <v>10</v>
      </c>
      <c r="E18" t="s">
        <v>11</v>
      </c>
      <c r="F18" t="s">
        <v>82</v>
      </c>
      <c r="G18" t="s">
        <v>12</v>
      </c>
      <c r="H18">
        <v>4.5658606730000004</v>
      </c>
      <c r="I18">
        <v>0.97957808000000002</v>
      </c>
    </row>
    <row r="19" spans="1:9" x14ac:dyDescent="0.2">
      <c r="A19" t="s">
        <v>51</v>
      </c>
      <c r="B19">
        <v>27</v>
      </c>
      <c r="C19" t="s">
        <v>52</v>
      </c>
      <c r="D19" t="s">
        <v>10</v>
      </c>
      <c r="E19" t="s">
        <v>11</v>
      </c>
      <c r="F19" t="s">
        <v>82</v>
      </c>
      <c r="G19" t="s">
        <v>12</v>
      </c>
      <c r="H19">
        <v>4.630667753</v>
      </c>
      <c r="I19">
        <v>0.98024831999999995</v>
      </c>
    </row>
    <row r="20" spans="1:9" x14ac:dyDescent="0.2">
      <c r="A20" t="s">
        <v>53</v>
      </c>
      <c r="B20">
        <v>28</v>
      </c>
      <c r="C20" t="s">
        <v>54</v>
      </c>
      <c r="D20" t="s">
        <v>10</v>
      </c>
      <c r="E20" t="s">
        <v>11</v>
      </c>
      <c r="F20" t="s">
        <v>82</v>
      </c>
      <c r="G20" t="s">
        <v>12</v>
      </c>
      <c r="H20">
        <v>4.645638516</v>
      </c>
      <c r="I20">
        <v>0.98218375999999996</v>
      </c>
    </row>
    <row r="21" spans="1:9" x14ac:dyDescent="0.2">
      <c r="A21" t="s">
        <v>55</v>
      </c>
      <c r="B21">
        <v>29</v>
      </c>
      <c r="C21" t="s">
        <v>56</v>
      </c>
      <c r="D21" t="s">
        <v>10</v>
      </c>
      <c r="E21" t="s">
        <v>17</v>
      </c>
      <c r="F21" t="s">
        <v>82</v>
      </c>
      <c r="G21" t="s">
        <v>12</v>
      </c>
      <c r="H21">
        <v>4.8890091160000004</v>
      </c>
      <c r="I21">
        <v>0.98878608000000001</v>
      </c>
    </row>
    <row r="22" spans="1:9" x14ac:dyDescent="0.2">
      <c r="A22" t="s">
        <v>57</v>
      </c>
      <c r="B22">
        <v>31</v>
      </c>
      <c r="C22" t="s">
        <v>58</v>
      </c>
      <c r="D22" t="s">
        <v>10</v>
      </c>
      <c r="E22" t="s">
        <v>17</v>
      </c>
      <c r="F22" t="s">
        <v>82</v>
      </c>
      <c r="G22" t="s">
        <v>12</v>
      </c>
      <c r="H22">
        <v>4.7835257059999998</v>
      </c>
      <c r="I22">
        <v>0.98774096</v>
      </c>
    </row>
    <row r="23" spans="1:9" x14ac:dyDescent="0.2">
      <c r="A23" t="s">
        <v>59</v>
      </c>
      <c r="B23">
        <v>33</v>
      </c>
      <c r="C23" t="s">
        <v>60</v>
      </c>
      <c r="D23" t="s">
        <v>22</v>
      </c>
      <c r="E23" t="s">
        <v>61</v>
      </c>
      <c r="F23" t="s">
        <v>82</v>
      </c>
      <c r="G23" t="s">
        <v>12</v>
      </c>
      <c r="H23">
        <v>3.8803561850000001</v>
      </c>
      <c r="I23">
        <v>0.96021175999999997</v>
      </c>
    </row>
    <row r="24" spans="1:9" x14ac:dyDescent="0.2">
      <c r="A24" t="s">
        <v>62</v>
      </c>
      <c r="B24">
        <v>34</v>
      </c>
      <c r="C24" t="s">
        <v>63</v>
      </c>
      <c r="D24" t="s">
        <v>22</v>
      </c>
      <c r="E24" t="s">
        <v>61</v>
      </c>
      <c r="F24" t="s">
        <v>82</v>
      </c>
      <c r="G24" t="s">
        <v>12</v>
      </c>
      <c r="H24">
        <v>4.1748121640000004</v>
      </c>
      <c r="I24">
        <v>0.96974247999999996</v>
      </c>
    </row>
    <row r="25" spans="1:9" x14ac:dyDescent="0.2">
      <c r="A25" t="s">
        <v>64</v>
      </c>
      <c r="B25">
        <v>35</v>
      </c>
      <c r="C25" t="s">
        <v>65</v>
      </c>
      <c r="D25" t="s">
        <v>22</v>
      </c>
      <c r="E25" t="s">
        <v>61</v>
      </c>
      <c r="F25" t="s">
        <v>82</v>
      </c>
      <c r="G25" t="s">
        <v>12</v>
      </c>
      <c r="H25">
        <v>4.3537238680000003</v>
      </c>
      <c r="I25">
        <v>0.97614111999999997</v>
      </c>
    </row>
    <row r="26" spans="1:9" x14ac:dyDescent="0.2">
      <c r="A26" t="s">
        <v>66</v>
      </c>
      <c r="B26">
        <v>38</v>
      </c>
      <c r="C26" t="s">
        <v>67</v>
      </c>
      <c r="D26" t="s">
        <v>22</v>
      </c>
      <c r="E26" t="s">
        <v>23</v>
      </c>
      <c r="F26" t="s">
        <v>82</v>
      </c>
      <c r="G26" t="s">
        <v>12</v>
      </c>
      <c r="H26">
        <v>3.5727312539999998</v>
      </c>
      <c r="I26">
        <v>0.93851271999999997</v>
      </c>
    </row>
    <row r="27" spans="1:9" x14ac:dyDescent="0.2">
      <c r="A27" t="s">
        <v>68</v>
      </c>
      <c r="B27">
        <v>39</v>
      </c>
      <c r="C27" t="s">
        <v>69</v>
      </c>
      <c r="D27" t="s">
        <v>22</v>
      </c>
      <c r="E27" t="s">
        <v>23</v>
      </c>
      <c r="F27" t="s">
        <v>82</v>
      </c>
      <c r="G27" t="s">
        <v>12</v>
      </c>
      <c r="H27">
        <v>3.9438580540000001</v>
      </c>
      <c r="I27">
        <v>0.95588711999999998</v>
      </c>
    </row>
    <row r="28" spans="1:9" x14ac:dyDescent="0.2">
      <c r="A28" t="s">
        <v>70</v>
      </c>
      <c r="B28">
        <v>43</v>
      </c>
      <c r="C28" t="s">
        <v>71</v>
      </c>
      <c r="D28" t="s">
        <v>32</v>
      </c>
      <c r="E28" t="s">
        <v>33</v>
      </c>
      <c r="F28" t="s">
        <v>82</v>
      </c>
      <c r="G28" t="s">
        <v>12</v>
      </c>
      <c r="H28">
        <v>3.926730981</v>
      </c>
      <c r="I28">
        <v>0.96520768000000001</v>
      </c>
    </row>
    <row r="29" spans="1:9" x14ac:dyDescent="0.2">
      <c r="A29" t="s">
        <v>72</v>
      </c>
      <c r="B29">
        <v>44</v>
      </c>
      <c r="C29" t="s">
        <v>73</v>
      </c>
      <c r="D29" t="s">
        <v>32</v>
      </c>
      <c r="E29" t="s">
        <v>33</v>
      </c>
      <c r="F29" t="s">
        <v>82</v>
      </c>
      <c r="G29" t="s">
        <v>12</v>
      </c>
      <c r="H29">
        <v>3.5422056610000001</v>
      </c>
      <c r="I29">
        <v>0.94849720000000004</v>
      </c>
    </row>
    <row r="30" spans="1:9" x14ac:dyDescent="0.2">
      <c r="A30" t="s">
        <v>74</v>
      </c>
      <c r="B30">
        <v>45</v>
      </c>
      <c r="C30" t="s">
        <v>75</v>
      </c>
      <c r="D30" t="s">
        <v>32</v>
      </c>
      <c r="E30" t="s">
        <v>42</v>
      </c>
      <c r="F30" t="s">
        <v>82</v>
      </c>
      <c r="G30" t="s">
        <v>12</v>
      </c>
      <c r="H30">
        <v>4.1824779809999999</v>
      </c>
      <c r="I30">
        <v>0.9748</v>
      </c>
    </row>
    <row r="31" spans="1:9" x14ac:dyDescent="0.2">
      <c r="A31" t="s">
        <v>76</v>
      </c>
      <c r="B31">
        <v>46</v>
      </c>
      <c r="C31" t="s">
        <v>77</v>
      </c>
      <c r="D31" t="s">
        <v>32</v>
      </c>
      <c r="E31" t="s">
        <v>42</v>
      </c>
      <c r="F31" t="s">
        <v>82</v>
      </c>
      <c r="G31" t="s">
        <v>12</v>
      </c>
      <c r="H31">
        <v>3.8923525369999998</v>
      </c>
      <c r="I31">
        <v>0.96672952000000001</v>
      </c>
    </row>
    <row r="32" spans="1:9" x14ac:dyDescent="0.2">
      <c r="A32" t="s">
        <v>78</v>
      </c>
      <c r="B32">
        <v>47</v>
      </c>
      <c r="C32" t="s">
        <v>79</v>
      </c>
      <c r="D32" t="s">
        <v>32</v>
      </c>
      <c r="E32" t="s">
        <v>42</v>
      </c>
      <c r="F32" t="s">
        <v>82</v>
      </c>
      <c r="G32" t="s">
        <v>12</v>
      </c>
      <c r="H32">
        <v>3.9274966529999999</v>
      </c>
      <c r="I32">
        <v>0.96521031999999995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79FF4-1100-934B-A178-7E2588DB7B31}">
  <dimension ref="A1:Q44"/>
  <sheetViews>
    <sheetView tabSelected="1" topLeftCell="D1" workbookViewId="0">
      <selection activeCell="Q3" sqref="Q3"/>
    </sheetView>
  </sheetViews>
  <sheetFormatPr baseColWidth="10" defaultRowHeight="16" x14ac:dyDescent="0.2"/>
  <cols>
    <col min="1" max="6" width="21.5" customWidth="1"/>
    <col min="8" max="8" width="13.6640625" customWidth="1"/>
    <col min="17" max="17" width="16.66406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116</v>
      </c>
      <c r="G1" t="s">
        <v>6</v>
      </c>
      <c r="H1" t="s">
        <v>7</v>
      </c>
      <c r="I1" t="s">
        <v>123</v>
      </c>
      <c r="J1" t="s">
        <v>124</v>
      </c>
      <c r="K1" t="s">
        <v>125</v>
      </c>
      <c r="L1" t="s">
        <v>126</v>
      </c>
      <c r="N1" t="s">
        <v>127</v>
      </c>
      <c r="O1" t="s">
        <v>128</v>
      </c>
      <c r="P1" t="s">
        <v>129</v>
      </c>
      <c r="Q1" t="s">
        <v>130</v>
      </c>
    </row>
    <row r="2" spans="1:17" x14ac:dyDescent="0.2">
      <c r="A2" t="s">
        <v>51</v>
      </c>
      <c r="B2">
        <v>27</v>
      </c>
      <c r="C2" t="s">
        <v>52</v>
      </c>
      <c r="D2" t="s">
        <v>10</v>
      </c>
      <c r="E2" t="s">
        <v>11</v>
      </c>
      <c r="F2" t="s">
        <v>82</v>
      </c>
      <c r="G2">
        <v>4.4278079999999997</v>
      </c>
      <c r="H2">
        <v>0.97986530000000005</v>
      </c>
      <c r="I2">
        <f>MIN(G2:G21)</f>
        <v>3.2584300000000002</v>
      </c>
      <c r="J2">
        <f>MAX(G2:G21)</f>
        <v>5.5010110000000001</v>
      </c>
      <c r="K2">
        <f>MIN(G22:G44)</f>
        <v>0.92164279999999998</v>
      </c>
      <c r="L2">
        <f>MAX(G22:G44)</f>
        <v>5.1027903999999999</v>
      </c>
      <c r="N2">
        <f>MIN(H2:H21)</f>
        <v>0.90117930000000002</v>
      </c>
      <c r="O2">
        <f>MAX(H2:H21)</f>
        <v>0.99015160000000002</v>
      </c>
      <c r="P2">
        <f>MIN(H22:H44)</f>
        <v>0.33366190000000001</v>
      </c>
      <c r="Q2">
        <f>MAX(H22:H44)</f>
        <v>0.97917540000000003</v>
      </c>
    </row>
    <row r="3" spans="1:17" x14ac:dyDescent="0.2">
      <c r="A3" t="s">
        <v>55</v>
      </c>
      <c r="B3">
        <v>29</v>
      </c>
      <c r="C3" t="s">
        <v>56</v>
      </c>
      <c r="D3" t="s">
        <v>10</v>
      </c>
      <c r="E3" t="s">
        <v>17</v>
      </c>
      <c r="F3" t="s">
        <v>82</v>
      </c>
      <c r="G3">
        <v>4.4932610000000004</v>
      </c>
      <c r="H3">
        <v>0.97870699999999999</v>
      </c>
    </row>
    <row r="4" spans="1:17" x14ac:dyDescent="0.2">
      <c r="A4" t="s">
        <v>57</v>
      </c>
      <c r="B4">
        <v>31</v>
      </c>
      <c r="C4" t="s">
        <v>58</v>
      </c>
      <c r="D4" t="s">
        <v>10</v>
      </c>
      <c r="E4" t="s">
        <v>17</v>
      </c>
      <c r="F4" t="s">
        <v>82</v>
      </c>
      <c r="G4">
        <v>4.4094309999999997</v>
      </c>
      <c r="H4">
        <v>0.97766909999999996</v>
      </c>
    </row>
    <row r="5" spans="1:17" x14ac:dyDescent="0.2">
      <c r="A5" t="s">
        <v>59</v>
      </c>
      <c r="B5">
        <v>33</v>
      </c>
      <c r="C5" t="s">
        <v>60</v>
      </c>
      <c r="D5" t="s">
        <v>22</v>
      </c>
      <c r="E5" t="s">
        <v>61</v>
      </c>
      <c r="F5" t="s">
        <v>82</v>
      </c>
      <c r="G5">
        <v>3.8941210000000002</v>
      </c>
      <c r="H5">
        <v>0.96140389999999998</v>
      </c>
    </row>
    <row r="6" spans="1:17" x14ac:dyDescent="0.2">
      <c r="A6" t="s">
        <v>62</v>
      </c>
      <c r="B6">
        <v>34</v>
      </c>
      <c r="C6" t="s">
        <v>63</v>
      </c>
      <c r="D6" t="s">
        <v>22</v>
      </c>
      <c r="E6" t="s">
        <v>61</v>
      </c>
      <c r="F6" t="s">
        <v>82</v>
      </c>
      <c r="G6">
        <v>4.1063239999999999</v>
      </c>
      <c r="H6">
        <v>0.96982729999999995</v>
      </c>
    </row>
    <row r="7" spans="1:17" x14ac:dyDescent="0.2">
      <c r="A7" t="s">
        <v>64</v>
      </c>
      <c r="B7">
        <v>35</v>
      </c>
      <c r="C7" t="s">
        <v>65</v>
      </c>
      <c r="D7" t="s">
        <v>22</v>
      </c>
      <c r="E7" t="s">
        <v>61</v>
      </c>
      <c r="F7" t="s">
        <v>82</v>
      </c>
      <c r="G7">
        <v>4.3346679999999997</v>
      </c>
      <c r="H7">
        <v>0.9763868</v>
      </c>
    </row>
    <row r="8" spans="1:17" x14ac:dyDescent="0.2">
      <c r="A8" t="s">
        <v>66</v>
      </c>
      <c r="B8">
        <v>38</v>
      </c>
      <c r="C8" t="s">
        <v>67</v>
      </c>
      <c r="D8" t="s">
        <v>22</v>
      </c>
      <c r="E8" t="s">
        <v>23</v>
      </c>
      <c r="F8" t="s">
        <v>82</v>
      </c>
      <c r="G8">
        <v>3.5808520000000001</v>
      </c>
      <c r="H8">
        <v>0.9421775</v>
      </c>
    </row>
    <row r="9" spans="1:17" x14ac:dyDescent="0.2">
      <c r="A9" t="s">
        <v>68</v>
      </c>
      <c r="B9">
        <v>39</v>
      </c>
      <c r="C9" t="s">
        <v>69</v>
      </c>
      <c r="D9" t="s">
        <v>22</v>
      </c>
      <c r="E9" t="s">
        <v>23</v>
      </c>
      <c r="F9" t="s">
        <v>82</v>
      </c>
      <c r="G9">
        <v>3.8964159999999999</v>
      </c>
      <c r="H9">
        <v>0.95675100000000002</v>
      </c>
    </row>
    <row r="10" spans="1:17" x14ac:dyDescent="0.2">
      <c r="A10" t="s">
        <v>83</v>
      </c>
      <c r="B10">
        <v>41</v>
      </c>
      <c r="C10" t="s">
        <v>90</v>
      </c>
      <c r="D10" t="s">
        <v>32</v>
      </c>
      <c r="E10" t="s">
        <v>33</v>
      </c>
      <c r="F10" t="s">
        <v>82</v>
      </c>
      <c r="G10">
        <v>3.2584300000000002</v>
      </c>
      <c r="H10">
        <v>0.90117930000000002</v>
      </c>
    </row>
    <row r="11" spans="1:17" x14ac:dyDescent="0.2">
      <c r="A11" t="s">
        <v>70</v>
      </c>
      <c r="B11">
        <v>43</v>
      </c>
      <c r="C11" t="s">
        <v>71</v>
      </c>
      <c r="D11" t="s">
        <v>32</v>
      </c>
      <c r="E11" t="s">
        <v>33</v>
      </c>
      <c r="F11" t="s">
        <v>82</v>
      </c>
      <c r="G11">
        <v>3.8936579999999998</v>
      </c>
      <c r="H11">
        <v>0.95917319999999995</v>
      </c>
    </row>
    <row r="12" spans="1:17" x14ac:dyDescent="0.2">
      <c r="A12" t="s">
        <v>72</v>
      </c>
      <c r="B12">
        <v>44</v>
      </c>
      <c r="C12" t="s">
        <v>73</v>
      </c>
      <c r="D12" t="s">
        <v>32</v>
      </c>
      <c r="E12" t="s">
        <v>33</v>
      </c>
      <c r="F12" t="s">
        <v>82</v>
      </c>
      <c r="G12">
        <v>3.4204159999999999</v>
      </c>
      <c r="H12">
        <v>0.9268634</v>
      </c>
    </row>
    <row r="13" spans="1:17" x14ac:dyDescent="0.2">
      <c r="A13" t="s">
        <v>74</v>
      </c>
      <c r="B13">
        <v>45</v>
      </c>
      <c r="C13" t="s">
        <v>75</v>
      </c>
      <c r="D13" t="s">
        <v>32</v>
      </c>
      <c r="E13" t="s">
        <v>42</v>
      </c>
      <c r="F13" t="s">
        <v>82</v>
      </c>
      <c r="G13">
        <v>4.1516029999999997</v>
      </c>
      <c r="H13">
        <v>0.97296660000000001</v>
      </c>
    </row>
    <row r="14" spans="1:17" x14ac:dyDescent="0.2">
      <c r="A14" t="s">
        <v>76</v>
      </c>
      <c r="B14">
        <v>46</v>
      </c>
      <c r="C14" t="s">
        <v>77</v>
      </c>
      <c r="D14" t="s">
        <v>32</v>
      </c>
      <c r="E14" t="s">
        <v>42</v>
      </c>
      <c r="F14" t="s">
        <v>82</v>
      </c>
      <c r="G14">
        <v>3.922037</v>
      </c>
      <c r="H14">
        <v>0.96768259999999995</v>
      </c>
    </row>
    <row r="15" spans="1:17" x14ac:dyDescent="0.2">
      <c r="A15" t="s">
        <v>78</v>
      </c>
      <c r="B15">
        <v>47</v>
      </c>
      <c r="C15" t="s">
        <v>79</v>
      </c>
      <c r="D15" t="s">
        <v>32</v>
      </c>
      <c r="E15" t="s">
        <v>42</v>
      </c>
      <c r="F15" t="s">
        <v>82</v>
      </c>
      <c r="G15">
        <v>3.9982039999999999</v>
      </c>
      <c r="H15">
        <v>0.96625450000000002</v>
      </c>
    </row>
    <row r="16" spans="1:17" x14ac:dyDescent="0.2">
      <c r="A16" t="s">
        <v>84</v>
      </c>
      <c r="B16">
        <v>13</v>
      </c>
      <c r="C16" t="s">
        <v>91</v>
      </c>
      <c r="D16" t="s">
        <v>22</v>
      </c>
      <c r="E16" t="s">
        <v>23</v>
      </c>
      <c r="F16" t="s">
        <v>82</v>
      </c>
      <c r="G16">
        <v>3.9810789999999998</v>
      </c>
      <c r="H16">
        <v>0.94800329999999999</v>
      </c>
    </row>
    <row r="17" spans="1:8" x14ac:dyDescent="0.2">
      <c r="A17" t="s">
        <v>85</v>
      </c>
      <c r="B17">
        <v>40</v>
      </c>
      <c r="C17" t="s">
        <v>92</v>
      </c>
      <c r="D17" t="s">
        <v>22</v>
      </c>
      <c r="E17" t="s">
        <v>23</v>
      </c>
      <c r="F17" t="s">
        <v>82</v>
      </c>
      <c r="G17">
        <v>3.941125</v>
      </c>
      <c r="H17">
        <v>0.95046969999999997</v>
      </c>
    </row>
    <row r="18" spans="1:8" x14ac:dyDescent="0.2">
      <c r="A18" t="s">
        <v>86</v>
      </c>
      <c r="B18">
        <v>41</v>
      </c>
      <c r="C18" t="s">
        <v>90</v>
      </c>
      <c r="D18" t="s">
        <v>32</v>
      </c>
      <c r="E18" t="s">
        <v>33</v>
      </c>
      <c r="F18" t="s">
        <v>82</v>
      </c>
      <c r="G18">
        <v>3.7057859999999998</v>
      </c>
      <c r="H18">
        <v>0.90163959999999999</v>
      </c>
    </row>
    <row r="19" spans="1:8" x14ac:dyDescent="0.2">
      <c r="A19" t="s">
        <v>87</v>
      </c>
      <c r="B19">
        <v>42</v>
      </c>
      <c r="C19" t="s">
        <v>93</v>
      </c>
      <c r="D19" t="s">
        <v>32</v>
      </c>
      <c r="E19" t="s">
        <v>94</v>
      </c>
      <c r="F19" t="s">
        <v>82</v>
      </c>
      <c r="G19">
        <v>4.0068130000000002</v>
      </c>
      <c r="H19">
        <v>0.94844890000000004</v>
      </c>
    </row>
    <row r="20" spans="1:8" x14ac:dyDescent="0.2">
      <c r="A20" t="s">
        <v>88</v>
      </c>
      <c r="B20">
        <v>6</v>
      </c>
      <c r="C20" t="s">
        <v>95</v>
      </c>
      <c r="D20" t="s">
        <v>10</v>
      </c>
      <c r="E20" t="s">
        <v>17</v>
      </c>
      <c r="F20" t="s">
        <v>82</v>
      </c>
      <c r="G20">
        <v>5.1983740000000003</v>
      </c>
      <c r="H20">
        <v>0.98390290000000002</v>
      </c>
    </row>
    <row r="21" spans="1:8" x14ac:dyDescent="0.2">
      <c r="A21" t="s">
        <v>89</v>
      </c>
      <c r="B21">
        <v>32</v>
      </c>
      <c r="C21" t="s">
        <v>96</v>
      </c>
      <c r="D21" t="s">
        <v>10</v>
      </c>
      <c r="E21" t="s">
        <v>17</v>
      </c>
      <c r="F21" t="s">
        <v>82</v>
      </c>
      <c r="G21">
        <v>5.5010110000000001</v>
      </c>
      <c r="H21">
        <v>0.99015160000000002</v>
      </c>
    </row>
    <row r="22" spans="1:8" x14ac:dyDescent="0.2">
      <c r="A22" t="s">
        <v>20</v>
      </c>
      <c r="B22">
        <v>13</v>
      </c>
      <c r="C22" t="s">
        <v>21</v>
      </c>
      <c r="D22" t="s">
        <v>22</v>
      </c>
      <c r="E22" t="s">
        <v>23</v>
      </c>
      <c r="F22" t="s">
        <v>81</v>
      </c>
      <c r="G22">
        <v>2.2453227999999998</v>
      </c>
      <c r="H22">
        <v>0.69164639999999999</v>
      </c>
    </row>
    <row r="23" spans="1:8" x14ac:dyDescent="0.2">
      <c r="A23" t="s">
        <v>24</v>
      </c>
      <c r="B23">
        <v>14</v>
      </c>
      <c r="C23" t="s">
        <v>25</v>
      </c>
      <c r="D23" t="s">
        <v>22</v>
      </c>
      <c r="E23" t="s">
        <v>23</v>
      </c>
      <c r="F23" t="s">
        <v>81</v>
      </c>
      <c r="G23">
        <v>2.7330304000000001</v>
      </c>
      <c r="H23">
        <v>0.76597009999999999</v>
      </c>
    </row>
    <row r="24" spans="1:8" x14ac:dyDescent="0.2">
      <c r="A24" t="s">
        <v>26</v>
      </c>
      <c r="B24">
        <v>15</v>
      </c>
      <c r="C24" t="s">
        <v>27</v>
      </c>
      <c r="D24" t="s">
        <v>22</v>
      </c>
      <c r="E24" t="s">
        <v>23</v>
      </c>
      <c r="F24" t="s">
        <v>81</v>
      </c>
      <c r="G24">
        <v>3.0176023999999999</v>
      </c>
      <c r="H24">
        <v>0.83401499999999995</v>
      </c>
    </row>
    <row r="25" spans="1:8" x14ac:dyDescent="0.2">
      <c r="A25" t="s">
        <v>28</v>
      </c>
      <c r="B25">
        <v>16</v>
      </c>
      <c r="C25" t="s">
        <v>29</v>
      </c>
      <c r="D25" t="s">
        <v>22</v>
      </c>
      <c r="E25" t="s">
        <v>23</v>
      </c>
      <c r="F25" t="s">
        <v>81</v>
      </c>
      <c r="G25">
        <v>2.4028985</v>
      </c>
      <c r="H25">
        <v>0.68213619999999997</v>
      </c>
    </row>
    <row r="26" spans="1:8" x14ac:dyDescent="0.2">
      <c r="A26" t="s">
        <v>30</v>
      </c>
      <c r="B26">
        <v>17</v>
      </c>
      <c r="C26" t="s">
        <v>31</v>
      </c>
      <c r="D26" t="s">
        <v>32</v>
      </c>
      <c r="E26" t="s">
        <v>33</v>
      </c>
      <c r="F26" t="s">
        <v>81</v>
      </c>
      <c r="G26">
        <v>1.0337291</v>
      </c>
      <c r="H26">
        <v>0.39596799999999999</v>
      </c>
    </row>
    <row r="27" spans="1:8" x14ac:dyDescent="0.2">
      <c r="A27" t="s">
        <v>34</v>
      </c>
      <c r="B27">
        <v>18</v>
      </c>
      <c r="C27" t="s">
        <v>35</v>
      </c>
      <c r="D27" t="s">
        <v>32</v>
      </c>
      <c r="E27" t="s">
        <v>33</v>
      </c>
      <c r="F27" t="s">
        <v>81</v>
      </c>
      <c r="G27">
        <v>0.92164279999999998</v>
      </c>
      <c r="H27">
        <v>0.33366190000000001</v>
      </c>
    </row>
    <row r="28" spans="1:8" x14ac:dyDescent="0.2">
      <c r="A28" t="s">
        <v>36</v>
      </c>
      <c r="B28">
        <v>19</v>
      </c>
      <c r="C28" t="s">
        <v>37</v>
      </c>
      <c r="D28" t="s">
        <v>32</v>
      </c>
      <c r="E28" t="s">
        <v>33</v>
      </c>
      <c r="F28" t="s">
        <v>81</v>
      </c>
      <c r="G28">
        <v>3.6297796999999998</v>
      </c>
      <c r="H28">
        <v>0.93819260000000004</v>
      </c>
    </row>
    <row r="29" spans="1:8" x14ac:dyDescent="0.2">
      <c r="A29" t="s">
        <v>8</v>
      </c>
      <c r="B29">
        <v>2</v>
      </c>
      <c r="C29" t="s">
        <v>9</v>
      </c>
      <c r="D29" t="s">
        <v>10</v>
      </c>
      <c r="E29" t="s">
        <v>11</v>
      </c>
      <c r="F29" t="s">
        <v>81</v>
      </c>
      <c r="G29">
        <v>3.8550863999999998</v>
      </c>
      <c r="H29">
        <v>0.954897</v>
      </c>
    </row>
    <row r="30" spans="1:8" x14ac:dyDescent="0.2">
      <c r="A30" t="s">
        <v>38</v>
      </c>
      <c r="B30">
        <v>20</v>
      </c>
      <c r="C30" t="s">
        <v>39</v>
      </c>
      <c r="D30" t="s">
        <v>32</v>
      </c>
      <c r="E30" t="s">
        <v>33</v>
      </c>
      <c r="F30" t="s">
        <v>81</v>
      </c>
      <c r="G30">
        <v>1.3526539</v>
      </c>
      <c r="H30">
        <v>0.57888050000000002</v>
      </c>
    </row>
    <row r="31" spans="1:8" x14ac:dyDescent="0.2">
      <c r="A31" t="s">
        <v>40</v>
      </c>
      <c r="B31">
        <v>21</v>
      </c>
      <c r="C31" t="s">
        <v>41</v>
      </c>
      <c r="D31" t="s">
        <v>32</v>
      </c>
      <c r="E31" t="s">
        <v>42</v>
      </c>
      <c r="F31" t="s">
        <v>81</v>
      </c>
      <c r="G31">
        <v>3.5173768000000001</v>
      </c>
      <c r="H31">
        <v>0.94130919999999996</v>
      </c>
    </row>
    <row r="32" spans="1:8" x14ac:dyDescent="0.2">
      <c r="A32" t="s">
        <v>43</v>
      </c>
      <c r="B32">
        <v>22</v>
      </c>
      <c r="C32" t="s">
        <v>44</v>
      </c>
      <c r="D32" t="s">
        <v>32</v>
      </c>
      <c r="E32" t="s">
        <v>42</v>
      </c>
      <c r="F32" t="s">
        <v>81</v>
      </c>
      <c r="G32">
        <v>3.5194475999999999</v>
      </c>
      <c r="H32">
        <v>0.93069500000000005</v>
      </c>
    </row>
    <row r="33" spans="1:8" x14ac:dyDescent="0.2">
      <c r="A33" t="s">
        <v>45</v>
      </c>
      <c r="B33">
        <v>23</v>
      </c>
      <c r="C33" t="s">
        <v>46</v>
      </c>
      <c r="D33" t="s">
        <v>32</v>
      </c>
      <c r="E33" t="s">
        <v>42</v>
      </c>
      <c r="F33" t="s">
        <v>81</v>
      </c>
      <c r="G33">
        <v>3.3014345999999999</v>
      </c>
      <c r="H33">
        <v>0.94165620000000005</v>
      </c>
    </row>
    <row r="34" spans="1:8" x14ac:dyDescent="0.2">
      <c r="A34" t="s">
        <v>13</v>
      </c>
      <c r="B34">
        <v>4</v>
      </c>
      <c r="C34" t="s">
        <v>14</v>
      </c>
      <c r="D34" t="s">
        <v>10</v>
      </c>
      <c r="E34" t="s">
        <v>11</v>
      </c>
      <c r="F34" t="s">
        <v>81</v>
      </c>
      <c r="G34">
        <v>4.2750541000000002</v>
      </c>
      <c r="H34">
        <v>0.9695319</v>
      </c>
    </row>
    <row r="35" spans="1:8" x14ac:dyDescent="0.2">
      <c r="A35" t="s">
        <v>97</v>
      </c>
      <c r="B35">
        <v>1</v>
      </c>
      <c r="C35" t="s">
        <v>107</v>
      </c>
      <c r="D35" t="s">
        <v>10</v>
      </c>
      <c r="E35" t="s">
        <v>11</v>
      </c>
      <c r="F35" t="s">
        <v>81</v>
      </c>
      <c r="G35">
        <v>4.8623460999999999</v>
      </c>
      <c r="H35">
        <v>0.97215309999999999</v>
      </c>
    </row>
    <row r="36" spans="1:8" x14ac:dyDescent="0.2">
      <c r="A36" t="s">
        <v>98</v>
      </c>
      <c r="B36">
        <v>15</v>
      </c>
      <c r="C36" t="s">
        <v>27</v>
      </c>
      <c r="D36" t="s">
        <v>22</v>
      </c>
      <c r="E36" t="s">
        <v>23</v>
      </c>
      <c r="F36" t="s">
        <v>81</v>
      </c>
      <c r="G36">
        <v>4.3006774999999999</v>
      </c>
      <c r="H36">
        <v>0.94858580000000003</v>
      </c>
    </row>
    <row r="37" spans="1:8" x14ac:dyDescent="0.2">
      <c r="A37" t="s">
        <v>99</v>
      </c>
      <c r="B37">
        <v>54</v>
      </c>
      <c r="C37" t="s">
        <v>108</v>
      </c>
      <c r="D37" t="s">
        <v>22</v>
      </c>
      <c r="E37" t="s">
        <v>61</v>
      </c>
      <c r="F37" t="s">
        <v>81</v>
      </c>
      <c r="G37">
        <v>4.5688161999999997</v>
      </c>
      <c r="H37">
        <v>0.96832320000000005</v>
      </c>
    </row>
    <row r="38" spans="1:8" x14ac:dyDescent="0.2">
      <c r="A38" t="s">
        <v>100</v>
      </c>
      <c r="B38">
        <v>48</v>
      </c>
      <c r="C38" t="s">
        <v>109</v>
      </c>
      <c r="D38" t="s">
        <v>32</v>
      </c>
      <c r="E38" t="s">
        <v>42</v>
      </c>
      <c r="F38" t="s">
        <v>81</v>
      </c>
      <c r="G38">
        <v>4.5071097</v>
      </c>
      <c r="H38">
        <v>0.97435470000000002</v>
      </c>
    </row>
    <row r="39" spans="1:8" x14ac:dyDescent="0.2">
      <c r="A39" t="s">
        <v>101</v>
      </c>
      <c r="B39">
        <v>24</v>
      </c>
      <c r="C39" t="s">
        <v>110</v>
      </c>
      <c r="D39" t="s">
        <v>32</v>
      </c>
      <c r="E39" t="s">
        <v>42</v>
      </c>
      <c r="F39" t="s">
        <v>81</v>
      </c>
      <c r="G39">
        <v>3.2042833000000002</v>
      </c>
      <c r="H39">
        <v>0.90325599999999995</v>
      </c>
    </row>
    <row r="40" spans="1:8" x14ac:dyDescent="0.2">
      <c r="A40" t="s">
        <v>102</v>
      </c>
      <c r="B40">
        <v>3</v>
      </c>
      <c r="C40" t="s">
        <v>111</v>
      </c>
      <c r="D40" t="s">
        <v>10</v>
      </c>
      <c r="E40" t="s">
        <v>11</v>
      </c>
      <c r="F40" t="s">
        <v>81</v>
      </c>
      <c r="G40">
        <v>5.1027903999999999</v>
      </c>
      <c r="H40">
        <v>0.97917540000000003</v>
      </c>
    </row>
    <row r="41" spans="1:8" x14ac:dyDescent="0.2">
      <c r="A41" t="s">
        <v>103</v>
      </c>
      <c r="B41">
        <v>7</v>
      </c>
      <c r="C41" t="s">
        <v>112</v>
      </c>
      <c r="D41" t="s">
        <v>10</v>
      </c>
      <c r="E41" t="s">
        <v>17</v>
      </c>
      <c r="F41" t="s">
        <v>81</v>
      </c>
      <c r="G41">
        <v>4.0903700000000001</v>
      </c>
      <c r="H41">
        <v>0.95664119999999997</v>
      </c>
    </row>
    <row r="42" spans="1:8" x14ac:dyDescent="0.2">
      <c r="A42" t="s">
        <v>104</v>
      </c>
      <c r="B42">
        <v>8</v>
      </c>
      <c r="C42" t="s">
        <v>113</v>
      </c>
      <c r="D42" t="s">
        <v>10</v>
      </c>
      <c r="E42" t="s">
        <v>17</v>
      </c>
      <c r="F42" t="s">
        <v>81</v>
      </c>
      <c r="G42">
        <v>4.1741070999999996</v>
      </c>
      <c r="H42">
        <v>0.95087659999999996</v>
      </c>
    </row>
    <row r="43" spans="1:8" x14ac:dyDescent="0.2">
      <c r="A43" t="s">
        <v>105</v>
      </c>
      <c r="B43">
        <v>9</v>
      </c>
      <c r="C43" t="s">
        <v>114</v>
      </c>
      <c r="D43" t="s">
        <v>22</v>
      </c>
      <c r="E43" t="s">
        <v>61</v>
      </c>
      <c r="F43" t="s">
        <v>81</v>
      </c>
      <c r="G43">
        <v>3.3549053999999998</v>
      </c>
      <c r="H43">
        <v>0.86214979999999997</v>
      </c>
    </row>
    <row r="44" spans="1:8" x14ac:dyDescent="0.2">
      <c r="A44" t="s">
        <v>106</v>
      </c>
      <c r="B44">
        <v>10</v>
      </c>
      <c r="C44" t="s">
        <v>115</v>
      </c>
      <c r="D44" t="s">
        <v>22</v>
      </c>
      <c r="E44" t="s">
        <v>61</v>
      </c>
      <c r="F44" t="s">
        <v>81</v>
      </c>
      <c r="G44">
        <v>4.0391110000000001</v>
      </c>
      <c r="H44">
        <v>0.93603599999999998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1D757-A3EF-C547-A0D3-C88383D06D98}">
  <dimension ref="A1:O11"/>
  <sheetViews>
    <sheetView workbookViewId="0">
      <selection activeCell="I1" sqref="I1:O3"/>
    </sheetView>
  </sheetViews>
  <sheetFormatPr baseColWidth="10" defaultRowHeight="16" x14ac:dyDescent="0.2"/>
  <cols>
    <col min="1" max="1" width="19" customWidth="1"/>
    <col min="5" max="5" width="16.6640625" customWidth="1"/>
    <col min="10" max="10" width="21.6640625" customWidth="1"/>
    <col min="14" max="14" width="16.832031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116</v>
      </c>
      <c r="G1" t="s">
        <v>6</v>
      </c>
      <c r="H1" t="s">
        <v>7</v>
      </c>
      <c r="I1" t="s">
        <v>117</v>
      </c>
      <c r="J1" t="s">
        <v>118</v>
      </c>
      <c r="K1" t="s">
        <v>119</v>
      </c>
      <c r="L1" t="s">
        <v>120</v>
      </c>
      <c r="N1" t="s">
        <v>121</v>
      </c>
      <c r="O1" t="s">
        <v>122</v>
      </c>
    </row>
    <row r="2" spans="1:15" x14ac:dyDescent="0.2">
      <c r="A2" t="s">
        <v>51</v>
      </c>
      <c r="B2">
        <v>27</v>
      </c>
      <c r="C2" t="s">
        <v>52</v>
      </c>
      <c r="D2" t="s">
        <v>10</v>
      </c>
      <c r="E2" t="s">
        <v>11</v>
      </c>
      <c r="F2" t="s">
        <v>82</v>
      </c>
      <c r="G2">
        <v>4.4278079999999997</v>
      </c>
      <c r="H2">
        <v>0.97986530000000005</v>
      </c>
      <c r="I2">
        <f>AVERAGE(G2:G6)</f>
        <v>4.8059770000000004</v>
      </c>
      <c r="J2">
        <f>AVERAGE(H2:H6)</f>
        <v>0.98205918000000003</v>
      </c>
      <c r="K2">
        <f>AVERAGE(G7:G11)</f>
        <v>4.5009335400000001</v>
      </c>
      <c r="L2">
        <f>AVERAGE(H7:H11)</f>
        <v>0.96567563999999995</v>
      </c>
      <c r="N2">
        <f>I2-K2</f>
        <v>0.30504346000000027</v>
      </c>
      <c r="O2">
        <f>J2-L2</f>
        <v>1.6383540000000085E-2</v>
      </c>
    </row>
    <row r="3" spans="1:15" x14ac:dyDescent="0.2">
      <c r="A3" t="s">
        <v>55</v>
      </c>
      <c r="B3">
        <v>29</v>
      </c>
      <c r="C3" t="s">
        <v>56</v>
      </c>
      <c r="D3" t="s">
        <v>10</v>
      </c>
      <c r="E3" t="s">
        <v>17</v>
      </c>
      <c r="F3" t="s">
        <v>82</v>
      </c>
      <c r="G3">
        <v>4.4932610000000004</v>
      </c>
      <c r="H3">
        <v>0.97870699999999999</v>
      </c>
      <c r="I3">
        <f>_xlfn.STDEV.P(G2:G6)</f>
        <v>0.45499439251445739</v>
      </c>
      <c r="J3">
        <f>_xlfn.STDEV.P(H2:H6)</f>
        <v>4.5652948975504447E-3</v>
      </c>
      <c r="K3">
        <f>_xlfn.STDEV.P(G7:G11)</f>
        <v>0.40478393795454187</v>
      </c>
      <c r="L3">
        <f>_xlfn.STDEV.P(H7:H11)</f>
        <v>1.0389460431918516E-2</v>
      </c>
      <c r="N3">
        <f>_xlfn.STDEV.P(I2,K2)</f>
        <v>0.15252173000000013</v>
      </c>
      <c r="O3">
        <f>_xlfn.STDEV.P(J2,L2)</f>
        <v>8.1917700000000426E-3</v>
      </c>
    </row>
    <row r="4" spans="1:15" x14ac:dyDescent="0.2">
      <c r="A4" t="s">
        <v>57</v>
      </c>
      <c r="B4">
        <v>31</v>
      </c>
      <c r="C4" t="s">
        <v>58</v>
      </c>
      <c r="D4" t="s">
        <v>10</v>
      </c>
      <c r="E4" t="s">
        <v>17</v>
      </c>
      <c r="F4" t="s">
        <v>82</v>
      </c>
      <c r="G4">
        <v>4.4094309999999997</v>
      </c>
      <c r="H4">
        <v>0.97766909999999996</v>
      </c>
    </row>
    <row r="5" spans="1:15" x14ac:dyDescent="0.2">
      <c r="A5" t="s">
        <v>88</v>
      </c>
      <c r="B5">
        <v>6</v>
      </c>
      <c r="C5" t="s">
        <v>95</v>
      </c>
      <c r="D5" t="s">
        <v>10</v>
      </c>
      <c r="E5" t="s">
        <v>17</v>
      </c>
      <c r="F5" t="s">
        <v>82</v>
      </c>
      <c r="G5">
        <v>5.1983740000000003</v>
      </c>
      <c r="H5">
        <v>0.98390290000000002</v>
      </c>
    </row>
    <row r="6" spans="1:15" x14ac:dyDescent="0.2">
      <c r="A6" t="s">
        <v>89</v>
      </c>
      <c r="B6">
        <v>32</v>
      </c>
      <c r="C6" t="s">
        <v>96</v>
      </c>
      <c r="D6" t="s">
        <v>10</v>
      </c>
      <c r="E6" t="s">
        <v>17</v>
      </c>
      <c r="F6" t="s">
        <v>82</v>
      </c>
      <c r="G6">
        <v>5.5010110000000001</v>
      </c>
      <c r="H6">
        <v>0.99015160000000002</v>
      </c>
    </row>
    <row r="7" spans="1:15" x14ac:dyDescent="0.2">
      <c r="A7" t="s">
        <v>13</v>
      </c>
      <c r="B7">
        <v>4</v>
      </c>
      <c r="C7" t="s">
        <v>14</v>
      </c>
      <c r="D7" t="s">
        <v>10</v>
      </c>
      <c r="E7" t="s">
        <v>11</v>
      </c>
      <c r="F7" t="s">
        <v>81</v>
      </c>
      <c r="G7">
        <v>4.2750541000000002</v>
      </c>
      <c r="H7">
        <v>0.9695319</v>
      </c>
    </row>
    <row r="8" spans="1:15" x14ac:dyDescent="0.2">
      <c r="A8" t="s">
        <v>97</v>
      </c>
      <c r="B8">
        <v>1</v>
      </c>
      <c r="C8" t="s">
        <v>107</v>
      </c>
      <c r="D8" t="s">
        <v>10</v>
      </c>
      <c r="E8" t="s">
        <v>11</v>
      </c>
      <c r="F8" t="s">
        <v>81</v>
      </c>
      <c r="G8">
        <v>4.8623460999999999</v>
      </c>
      <c r="H8">
        <v>0.97215309999999999</v>
      </c>
    </row>
    <row r="9" spans="1:15" x14ac:dyDescent="0.2">
      <c r="A9" t="s">
        <v>102</v>
      </c>
      <c r="B9">
        <v>3</v>
      </c>
      <c r="C9" t="s">
        <v>111</v>
      </c>
      <c r="D9" t="s">
        <v>10</v>
      </c>
      <c r="E9" t="s">
        <v>11</v>
      </c>
      <c r="F9" t="s">
        <v>81</v>
      </c>
      <c r="G9">
        <v>5.1027903999999999</v>
      </c>
      <c r="H9">
        <v>0.97917540000000003</v>
      </c>
    </row>
    <row r="10" spans="1:15" x14ac:dyDescent="0.2">
      <c r="A10" t="s">
        <v>103</v>
      </c>
      <c r="B10">
        <v>7</v>
      </c>
      <c r="C10" t="s">
        <v>112</v>
      </c>
      <c r="D10" t="s">
        <v>10</v>
      </c>
      <c r="E10" t="s">
        <v>17</v>
      </c>
      <c r="F10" t="s">
        <v>81</v>
      </c>
      <c r="G10">
        <v>4.0903700000000001</v>
      </c>
      <c r="H10">
        <v>0.95664119999999997</v>
      </c>
    </row>
    <row r="11" spans="1:15" x14ac:dyDescent="0.2">
      <c r="A11" t="s">
        <v>104</v>
      </c>
      <c r="B11">
        <v>8</v>
      </c>
      <c r="C11" t="s">
        <v>113</v>
      </c>
      <c r="D11" t="s">
        <v>10</v>
      </c>
      <c r="E11" t="s">
        <v>17</v>
      </c>
      <c r="F11" t="s">
        <v>81</v>
      </c>
      <c r="G11">
        <v>4.1741070999999996</v>
      </c>
      <c r="H11">
        <v>0.95087659999999996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DC382-3D36-BF4F-999B-A877937C1003}">
  <dimension ref="A1:O16"/>
  <sheetViews>
    <sheetView workbookViewId="0">
      <selection activeCell="O2" sqref="O2"/>
    </sheetView>
  </sheetViews>
  <sheetFormatPr baseColWidth="10" defaultRowHeight="16" x14ac:dyDescent="0.2"/>
  <cols>
    <col min="9" max="9" width="19.5" customWidth="1"/>
    <col min="10" max="10" width="19.6640625" customWidth="1"/>
    <col min="11" max="11" width="18.83203125" customWidth="1"/>
    <col min="12" max="12" width="16.66406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116</v>
      </c>
      <c r="G1" t="s">
        <v>6</v>
      </c>
      <c r="H1" t="s">
        <v>7</v>
      </c>
      <c r="I1" t="s">
        <v>117</v>
      </c>
      <c r="J1" t="s">
        <v>118</v>
      </c>
      <c r="K1" t="s">
        <v>119</v>
      </c>
      <c r="L1" t="s">
        <v>120</v>
      </c>
      <c r="N1" t="s">
        <v>121</v>
      </c>
      <c r="O1" t="s">
        <v>122</v>
      </c>
    </row>
    <row r="2" spans="1:15" x14ac:dyDescent="0.2">
      <c r="A2" t="s">
        <v>59</v>
      </c>
      <c r="B2">
        <v>33</v>
      </c>
      <c r="C2" t="s">
        <v>60</v>
      </c>
      <c r="D2" t="s">
        <v>22</v>
      </c>
      <c r="E2" t="s">
        <v>61</v>
      </c>
      <c r="F2" t="s">
        <v>82</v>
      </c>
      <c r="G2">
        <v>3.8941210000000002</v>
      </c>
      <c r="H2">
        <v>0.96140389999999998</v>
      </c>
      <c r="I2">
        <f>AVERAGE(G2:G6)</f>
        <v>3.9624761999999998</v>
      </c>
      <c r="J2">
        <f>AVERAGE(H2:H6)</f>
        <v>0.96130930000000014</v>
      </c>
      <c r="K2">
        <f>AVERAGE(G7:G11)</f>
        <v>3.1836319199999998</v>
      </c>
      <c r="L2">
        <f>AVERAGE(H7:H11)</f>
        <v>0.83802090000000007</v>
      </c>
      <c r="N2">
        <f>I2-K2</f>
        <v>0.77884427999999994</v>
      </c>
      <c r="O2">
        <f>J2-L2</f>
        <v>0.12328840000000008</v>
      </c>
    </row>
    <row r="3" spans="1:15" x14ac:dyDescent="0.2">
      <c r="A3" t="s">
        <v>62</v>
      </c>
      <c r="B3">
        <v>34</v>
      </c>
      <c r="C3" t="s">
        <v>63</v>
      </c>
      <c r="D3" t="s">
        <v>22</v>
      </c>
      <c r="E3" t="s">
        <v>61</v>
      </c>
      <c r="F3" t="s">
        <v>82</v>
      </c>
      <c r="G3">
        <v>4.1063239999999999</v>
      </c>
      <c r="H3">
        <v>0.96982729999999995</v>
      </c>
      <c r="I3">
        <f>_xlfn.STDEV.P(G2:G6)</f>
        <v>0.25055631661117611</v>
      </c>
      <c r="J3">
        <f>_xlfn.STDEV.P(H2:H6)</f>
        <v>1.1719216266798721E-2</v>
      </c>
      <c r="K3">
        <f>_xlfn.STDEV.P(G7:G11)</f>
        <v>0.68128542442376416</v>
      </c>
      <c r="L3">
        <f>_xlfn.STDEV.P(H7:H11)</f>
        <v>0.10136441209507342</v>
      </c>
      <c r="N3">
        <f>_xlfn.STDEV.P(I2,K2)</f>
        <v>0.38942214000000352</v>
      </c>
      <c r="O3">
        <f>_xlfn.STDEV.P(J2,L2)</f>
        <v>6.1644200000000038E-2</v>
      </c>
    </row>
    <row r="4" spans="1:15" x14ac:dyDescent="0.2">
      <c r="A4" t="s">
        <v>64</v>
      </c>
      <c r="B4">
        <v>35</v>
      </c>
      <c r="C4" t="s">
        <v>65</v>
      </c>
      <c r="D4" t="s">
        <v>22</v>
      </c>
      <c r="E4" t="s">
        <v>61</v>
      </c>
      <c r="F4" t="s">
        <v>82</v>
      </c>
      <c r="G4">
        <v>4.3346679999999997</v>
      </c>
      <c r="H4">
        <v>0.9763868</v>
      </c>
    </row>
    <row r="5" spans="1:15" x14ac:dyDescent="0.2">
      <c r="A5" t="s">
        <v>66</v>
      </c>
      <c r="B5">
        <v>38</v>
      </c>
      <c r="C5" t="s">
        <v>67</v>
      </c>
      <c r="D5" t="s">
        <v>22</v>
      </c>
      <c r="E5" t="s">
        <v>23</v>
      </c>
      <c r="F5" t="s">
        <v>82</v>
      </c>
      <c r="G5">
        <v>3.5808520000000001</v>
      </c>
      <c r="H5">
        <v>0.9421775</v>
      </c>
    </row>
    <row r="6" spans="1:15" x14ac:dyDescent="0.2">
      <c r="A6" t="s">
        <v>68</v>
      </c>
      <c r="B6">
        <v>39</v>
      </c>
      <c r="C6" t="s">
        <v>69</v>
      </c>
      <c r="D6" t="s">
        <v>22</v>
      </c>
      <c r="E6" t="s">
        <v>23</v>
      </c>
      <c r="F6" t="s">
        <v>82</v>
      </c>
      <c r="G6">
        <v>3.8964159999999999</v>
      </c>
      <c r="H6">
        <v>0.95675100000000002</v>
      </c>
    </row>
    <row r="7" spans="1:15" x14ac:dyDescent="0.2">
      <c r="A7" t="s">
        <v>84</v>
      </c>
      <c r="B7">
        <v>13</v>
      </c>
      <c r="C7" t="s">
        <v>91</v>
      </c>
      <c r="D7" t="s">
        <v>22</v>
      </c>
      <c r="E7" t="s">
        <v>23</v>
      </c>
      <c r="F7" t="s">
        <v>82</v>
      </c>
      <c r="G7">
        <v>3.9810789999999998</v>
      </c>
      <c r="H7">
        <v>0.94800329999999999</v>
      </c>
    </row>
    <row r="8" spans="1:15" x14ac:dyDescent="0.2">
      <c r="A8" t="s">
        <v>85</v>
      </c>
      <c r="B8">
        <v>40</v>
      </c>
      <c r="C8" t="s">
        <v>92</v>
      </c>
      <c r="D8" t="s">
        <v>22</v>
      </c>
      <c r="E8" t="s">
        <v>23</v>
      </c>
      <c r="F8" t="s">
        <v>82</v>
      </c>
      <c r="G8">
        <v>3.941125</v>
      </c>
      <c r="H8">
        <v>0.95046969999999997</v>
      </c>
    </row>
    <row r="9" spans="1:15" x14ac:dyDescent="0.2">
      <c r="A9" t="s">
        <v>20</v>
      </c>
      <c r="B9">
        <v>13</v>
      </c>
      <c r="C9" t="s">
        <v>21</v>
      </c>
      <c r="D9" t="s">
        <v>22</v>
      </c>
      <c r="E9" t="s">
        <v>23</v>
      </c>
      <c r="F9" t="s">
        <v>81</v>
      </c>
      <c r="G9">
        <v>2.2453227999999998</v>
      </c>
      <c r="H9">
        <v>0.69164639999999999</v>
      </c>
    </row>
    <row r="10" spans="1:15" x14ac:dyDescent="0.2">
      <c r="A10" t="s">
        <v>24</v>
      </c>
      <c r="B10">
        <v>14</v>
      </c>
      <c r="C10" t="s">
        <v>25</v>
      </c>
      <c r="D10" t="s">
        <v>22</v>
      </c>
      <c r="E10" t="s">
        <v>23</v>
      </c>
      <c r="F10" t="s">
        <v>81</v>
      </c>
      <c r="G10">
        <v>2.7330304000000001</v>
      </c>
      <c r="H10">
        <v>0.76597009999999999</v>
      </c>
    </row>
    <row r="11" spans="1:15" x14ac:dyDescent="0.2">
      <c r="A11" t="s">
        <v>26</v>
      </c>
      <c r="B11">
        <v>15</v>
      </c>
      <c r="C11" t="s">
        <v>27</v>
      </c>
      <c r="D11" t="s">
        <v>22</v>
      </c>
      <c r="E11" t="s">
        <v>23</v>
      </c>
      <c r="F11" t="s">
        <v>81</v>
      </c>
      <c r="G11">
        <v>3.0176023999999999</v>
      </c>
      <c r="H11">
        <v>0.83401499999999995</v>
      </c>
    </row>
    <row r="12" spans="1:15" x14ac:dyDescent="0.2">
      <c r="A12" t="s">
        <v>28</v>
      </c>
      <c r="B12">
        <v>16</v>
      </c>
      <c r="C12" t="s">
        <v>29</v>
      </c>
      <c r="D12" t="s">
        <v>22</v>
      </c>
      <c r="E12" t="s">
        <v>23</v>
      </c>
      <c r="F12" t="s">
        <v>81</v>
      </c>
      <c r="G12">
        <v>2.4028985</v>
      </c>
      <c r="H12">
        <v>0.68213619999999997</v>
      </c>
    </row>
    <row r="13" spans="1:15" x14ac:dyDescent="0.2">
      <c r="A13" t="s">
        <v>98</v>
      </c>
      <c r="B13">
        <v>15</v>
      </c>
      <c r="C13" t="s">
        <v>27</v>
      </c>
      <c r="D13" t="s">
        <v>22</v>
      </c>
      <c r="E13" t="s">
        <v>23</v>
      </c>
      <c r="F13" t="s">
        <v>81</v>
      </c>
      <c r="G13">
        <v>4.3006774999999999</v>
      </c>
      <c r="H13">
        <v>0.94858580000000003</v>
      </c>
    </row>
    <row r="14" spans="1:15" x14ac:dyDescent="0.2">
      <c r="A14" t="s">
        <v>99</v>
      </c>
      <c r="B14">
        <v>54</v>
      </c>
      <c r="C14" t="s">
        <v>108</v>
      </c>
      <c r="D14" t="s">
        <v>22</v>
      </c>
      <c r="E14" t="s">
        <v>61</v>
      </c>
      <c r="F14" t="s">
        <v>81</v>
      </c>
      <c r="G14">
        <v>4.5688161999999997</v>
      </c>
      <c r="H14">
        <v>0.96832320000000005</v>
      </c>
    </row>
    <row r="15" spans="1:15" x14ac:dyDescent="0.2">
      <c r="A15" t="s">
        <v>105</v>
      </c>
      <c r="B15">
        <v>9</v>
      </c>
      <c r="C15" t="s">
        <v>114</v>
      </c>
      <c r="D15" t="s">
        <v>22</v>
      </c>
      <c r="E15" t="s">
        <v>61</v>
      </c>
      <c r="F15" t="s">
        <v>81</v>
      </c>
      <c r="G15">
        <v>3.3549053999999998</v>
      </c>
      <c r="H15">
        <v>0.86214979999999997</v>
      </c>
    </row>
    <row r="16" spans="1:15" x14ac:dyDescent="0.2">
      <c r="A16" t="s">
        <v>106</v>
      </c>
      <c r="B16">
        <v>10</v>
      </c>
      <c r="C16" t="s">
        <v>115</v>
      </c>
      <c r="D16" t="s">
        <v>22</v>
      </c>
      <c r="E16" t="s">
        <v>61</v>
      </c>
      <c r="F16" t="s">
        <v>81</v>
      </c>
      <c r="G16">
        <v>4.0391110000000001</v>
      </c>
      <c r="H16">
        <v>0.93603599999999998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19EDA-DD58-154E-AC11-2EAA8C8C5E07}">
  <dimension ref="A1:O18"/>
  <sheetViews>
    <sheetView workbookViewId="0">
      <selection activeCell="O2" sqref="O2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116</v>
      </c>
      <c r="G1" t="s">
        <v>6</v>
      </c>
      <c r="H1" t="s">
        <v>7</v>
      </c>
      <c r="I1" t="s">
        <v>117</v>
      </c>
      <c r="J1" t="s">
        <v>118</v>
      </c>
      <c r="K1" t="s">
        <v>119</v>
      </c>
      <c r="L1" t="s">
        <v>120</v>
      </c>
      <c r="N1" t="s">
        <v>121</v>
      </c>
      <c r="O1" t="s">
        <v>122</v>
      </c>
    </row>
    <row r="2" spans="1:15" x14ac:dyDescent="0.2">
      <c r="A2" t="s">
        <v>83</v>
      </c>
      <c r="B2">
        <v>41</v>
      </c>
      <c r="C2" t="s">
        <v>90</v>
      </c>
      <c r="D2" t="s">
        <v>32</v>
      </c>
      <c r="E2" t="s">
        <v>33</v>
      </c>
      <c r="F2" t="s">
        <v>82</v>
      </c>
      <c r="G2">
        <v>3.2584300000000002</v>
      </c>
      <c r="H2">
        <v>0.90117930000000002</v>
      </c>
      <c r="I2">
        <f>AVERAGE(G2:G6)</f>
        <v>3.7292288</v>
      </c>
      <c r="J2">
        <f>AVERAGE(H2:H6)</f>
        <v>0.94557301999999999</v>
      </c>
      <c r="K2">
        <f>AVERAGE(G7:G11)</f>
        <v>2.7332349799999998</v>
      </c>
      <c r="L2">
        <f>AVERAGE(H7:H11)</f>
        <v>0.70919457999999991</v>
      </c>
      <c r="N2">
        <f>I2-K2</f>
        <v>0.99599382000000025</v>
      </c>
      <c r="O2">
        <f>J2-L2</f>
        <v>0.23637844000000008</v>
      </c>
    </row>
    <row r="3" spans="1:15" x14ac:dyDescent="0.2">
      <c r="A3" t="s">
        <v>70</v>
      </c>
      <c r="B3">
        <v>43</v>
      </c>
      <c r="C3" t="s">
        <v>71</v>
      </c>
      <c r="D3" t="s">
        <v>32</v>
      </c>
      <c r="E3" t="s">
        <v>33</v>
      </c>
      <c r="F3" t="s">
        <v>82</v>
      </c>
      <c r="G3">
        <v>3.8936579999999998</v>
      </c>
      <c r="H3">
        <v>0.95917319999999995</v>
      </c>
      <c r="I3">
        <f>_xlfn.STDEV.P(G2:G6)</f>
        <v>0.33455307027459769</v>
      </c>
      <c r="J3">
        <f>_xlfn.STDEV.P(H2:H6)</f>
        <v>2.7368079600176537E-2</v>
      </c>
      <c r="K3">
        <f>_xlfn.STDEV.P(G7:G11)</f>
        <v>1.437928339235419</v>
      </c>
      <c r="L3">
        <f>_xlfn.STDEV.P(H7:H11)</f>
        <v>0.28266347553171717</v>
      </c>
      <c r="N3">
        <f>_xlfn.STDEV.P(I2,K2)</f>
        <v>0.49799690999999907</v>
      </c>
      <c r="O3">
        <f>_xlfn.STDEV.P(J2,L2)</f>
        <v>0.11818922000000021</v>
      </c>
    </row>
    <row r="4" spans="1:15" x14ac:dyDescent="0.2">
      <c r="A4" t="s">
        <v>72</v>
      </c>
      <c r="B4">
        <v>44</v>
      </c>
      <c r="C4" t="s">
        <v>73</v>
      </c>
      <c r="D4" t="s">
        <v>32</v>
      </c>
      <c r="E4" t="s">
        <v>33</v>
      </c>
      <c r="F4" t="s">
        <v>82</v>
      </c>
      <c r="G4">
        <v>3.4204159999999999</v>
      </c>
      <c r="H4">
        <v>0.9268634</v>
      </c>
    </row>
    <row r="5" spans="1:15" x14ac:dyDescent="0.2">
      <c r="A5" t="s">
        <v>74</v>
      </c>
      <c r="B5">
        <v>45</v>
      </c>
      <c r="C5" t="s">
        <v>75</v>
      </c>
      <c r="D5" t="s">
        <v>32</v>
      </c>
      <c r="E5" t="s">
        <v>42</v>
      </c>
      <c r="F5" t="s">
        <v>82</v>
      </c>
      <c r="G5">
        <v>4.1516029999999997</v>
      </c>
      <c r="H5">
        <v>0.97296660000000001</v>
      </c>
    </row>
    <row r="6" spans="1:15" x14ac:dyDescent="0.2">
      <c r="A6" t="s">
        <v>76</v>
      </c>
      <c r="B6">
        <v>46</v>
      </c>
      <c r="C6" t="s">
        <v>77</v>
      </c>
      <c r="D6" t="s">
        <v>32</v>
      </c>
      <c r="E6" t="s">
        <v>42</v>
      </c>
      <c r="F6" t="s">
        <v>82</v>
      </c>
      <c r="G6">
        <v>3.922037</v>
      </c>
      <c r="H6">
        <v>0.96768259999999995</v>
      </c>
    </row>
    <row r="7" spans="1:15" x14ac:dyDescent="0.2">
      <c r="A7" t="s">
        <v>78</v>
      </c>
      <c r="B7">
        <v>47</v>
      </c>
      <c r="C7" t="s">
        <v>79</v>
      </c>
      <c r="D7" t="s">
        <v>32</v>
      </c>
      <c r="E7" t="s">
        <v>42</v>
      </c>
      <c r="F7" t="s">
        <v>82</v>
      </c>
      <c r="G7">
        <v>3.9982039999999999</v>
      </c>
      <c r="H7">
        <v>0.96625450000000002</v>
      </c>
    </row>
    <row r="8" spans="1:15" x14ac:dyDescent="0.2">
      <c r="A8" t="s">
        <v>86</v>
      </c>
      <c r="B8">
        <v>41</v>
      </c>
      <c r="C8" t="s">
        <v>90</v>
      </c>
      <c r="D8" t="s">
        <v>32</v>
      </c>
      <c r="E8" t="s">
        <v>33</v>
      </c>
      <c r="F8" t="s">
        <v>82</v>
      </c>
      <c r="G8">
        <v>3.7057859999999998</v>
      </c>
      <c r="H8">
        <v>0.90163959999999999</v>
      </c>
    </row>
    <row r="9" spans="1:15" x14ac:dyDescent="0.2">
      <c r="A9" t="s">
        <v>87</v>
      </c>
      <c r="B9">
        <v>42</v>
      </c>
      <c r="C9" t="s">
        <v>93</v>
      </c>
      <c r="D9" t="s">
        <v>32</v>
      </c>
      <c r="E9" t="s">
        <v>94</v>
      </c>
      <c r="F9" t="s">
        <v>82</v>
      </c>
      <c r="G9">
        <v>4.0068130000000002</v>
      </c>
      <c r="H9">
        <v>0.94844890000000004</v>
      </c>
    </row>
    <row r="10" spans="1:15" x14ac:dyDescent="0.2">
      <c r="A10" t="s">
        <v>30</v>
      </c>
      <c r="B10">
        <v>17</v>
      </c>
      <c r="C10" t="s">
        <v>31</v>
      </c>
      <c r="D10" t="s">
        <v>32</v>
      </c>
      <c r="E10" t="s">
        <v>33</v>
      </c>
      <c r="F10" t="s">
        <v>81</v>
      </c>
      <c r="G10">
        <v>1.0337291</v>
      </c>
      <c r="H10">
        <v>0.39596799999999999</v>
      </c>
    </row>
    <row r="11" spans="1:15" x14ac:dyDescent="0.2">
      <c r="A11" t="s">
        <v>34</v>
      </c>
      <c r="B11">
        <v>18</v>
      </c>
      <c r="C11" t="s">
        <v>35</v>
      </c>
      <c r="D11" t="s">
        <v>32</v>
      </c>
      <c r="E11" t="s">
        <v>33</v>
      </c>
      <c r="F11" t="s">
        <v>81</v>
      </c>
      <c r="G11">
        <v>0.92164279999999998</v>
      </c>
      <c r="H11">
        <v>0.33366190000000001</v>
      </c>
    </row>
    <row r="12" spans="1:15" x14ac:dyDescent="0.2">
      <c r="A12" t="s">
        <v>36</v>
      </c>
      <c r="B12">
        <v>19</v>
      </c>
      <c r="C12" t="s">
        <v>37</v>
      </c>
      <c r="D12" t="s">
        <v>32</v>
      </c>
      <c r="E12" t="s">
        <v>33</v>
      </c>
      <c r="F12" t="s">
        <v>81</v>
      </c>
      <c r="G12">
        <v>3.6297796999999998</v>
      </c>
      <c r="H12">
        <v>0.93819260000000004</v>
      </c>
    </row>
    <row r="13" spans="1:15" x14ac:dyDescent="0.2">
      <c r="A13" t="s">
        <v>38</v>
      </c>
      <c r="B13">
        <v>20</v>
      </c>
      <c r="C13" t="s">
        <v>39</v>
      </c>
      <c r="D13" t="s">
        <v>32</v>
      </c>
      <c r="E13" t="s">
        <v>33</v>
      </c>
      <c r="F13" t="s">
        <v>81</v>
      </c>
      <c r="G13">
        <v>1.3526539</v>
      </c>
      <c r="H13">
        <v>0.57888050000000002</v>
      </c>
    </row>
    <row r="14" spans="1:15" x14ac:dyDescent="0.2">
      <c r="A14" t="s">
        <v>40</v>
      </c>
      <c r="B14">
        <v>21</v>
      </c>
      <c r="C14" t="s">
        <v>41</v>
      </c>
      <c r="D14" t="s">
        <v>32</v>
      </c>
      <c r="E14" t="s">
        <v>42</v>
      </c>
      <c r="F14" t="s">
        <v>81</v>
      </c>
      <c r="G14">
        <v>3.5173768000000001</v>
      </c>
      <c r="H14">
        <v>0.94130919999999996</v>
      </c>
    </row>
    <row r="15" spans="1:15" x14ac:dyDescent="0.2">
      <c r="A15" t="s">
        <v>43</v>
      </c>
      <c r="B15">
        <v>22</v>
      </c>
      <c r="C15" t="s">
        <v>44</v>
      </c>
      <c r="D15" t="s">
        <v>32</v>
      </c>
      <c r="E15" t="s">
        <v>42</v>
      </c>
      <c r="F15" t="s">
        <v>81</v>
      </c>
      <c r="G15">
        <v>3.5194475999999999</v>
      </c>
      <c r="H15">
        <v>0.93069500000000005</v>
      </c>
    </row>
    <row r="16" spans="1:15" x14ac:dyDescent="0.2">
      <c r="A16" t="s">
        <v>45</v>
      </c>
      <c r="B16">
        <v>23</v>
      </c>
      <c r="C16" t="s">
        <v>46</v>
      </c>
      <c r="D16" t="s">
        <v>32</v>
      </c>
      <c r="E16" t="s">
        <v>42</v>
      </c>
      <c r="F16" t="s">
        <v>81</v>
      </c>
      <c r="G16">
        <v>3.3014345999999999</v>
      </c>
      <c r="H16">
        <v>0.94165620000000005</v>
      </c>
    </row>
    <row r="17" spans="1:8" x14ac:dyDescent="0.2">
      <c r="A17" t="s">
        <v>100</v>
      </c>
      <c r="B17">
        <v>48</v>
      </c>
      <c r="C17" t="s">
        <v>109</v>
      </c>
      <c r="D17" t="s">
        <v>32</v>
      </c>
      <c r="E17" t="s">
        <v>42</v>
      </c>
      <c r="F17" t="s">
        <v>81</v>
      </c>
      <c r="G17">
        <v>4.5071097</v>
      </c>
      <c r="H17">
        <v>0.97435470000000002</v>
      </c>
    </row>
    <row r="18" spans="1:8" x14ac:dyDescent="0.2">
      <c r="A18" t="s">
        <v>101</v>
      </c>
      <c r="B18">
        <v>24</v>
      </c>
      <c r="C18" t="s">
        <v>110</v>
      </c>
      <c r="D18" t="s">
        <v>32</v>
      </c>
      <c r="E18" t="s">
        <v>42</v>
      </c>
      <c r="F18" t="s">
        <v>81</v>
      </c>
      <c r="G18">
        <v>3.2042833000000002</v>
      </c>
      <c r="H18">
        <v>0.90325599999999995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shansimp_original</vt:lpstr>
      <vt:lpstr>shansimp_reseq</vt:lpstr>
      <vt:lpstr>shansimp_crrel</vt:lpstr>
      <vt:lpstr>shansimp_fl</vt:lpstr>
      <vt:lpstr>shansimp_ut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O'Brien</dc:creator>
  <cp:lastModifiedBy>Joy O'Brien</cp:lastModifiedBy>
  <dcterms:created xsi:type="dcterms:W3CDTF">2022-06-12T20:34:42Z</dcterms:created>
  <dcterms:modified xsi:type="dcterms:W3CDTF">2023-06-30T02:45:55Z</dcterms:modified>
</cp:coreProperties>
</file>